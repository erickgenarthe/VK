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Pendências!$A$1:$R$158</definedName>
    <definedName function="false" hidden="true" localSheetId="2" name="_xlnm._FilterDatabase" vbProcedure="false">'Por empresa'!$A$1:$F$53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<sst xmlns="http://schemas.openxmlformats.org/spreadsheetml/2006/main" count="1715" uniqueCount="363">
  <si>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</si>
  <si>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</si>
  <si>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</si>
  <si>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</si>
  <si>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</si>
  <si>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</si>
  <si>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</si>
  <si>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</si>
  <si>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</si>
  <si>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</si>
  <si>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</si>
  <si>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</si>
  <si>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</si>
  <si>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</si>
  <si>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</si>
  <si>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</si>
  <si>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</si>
  <si>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</si>
  <si>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</si>
  <si>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</si>
  <si>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</si>
  <si>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</si>
  <si>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</si>
  <si>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</si>
  <si>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</si>
  <si>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</si>
  <si>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</si>
  <si>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</si>
  <si>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</si>
  <si>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</si>
  <si>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</si>
  <si>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</si>
  <si>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</si>
  <si>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</si>
  <si>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</si>
  <si>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</si>
  <si>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</si>
  <si>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</si>
  <si>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</si>
  <si>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</si>
  <si>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</si>
  <si>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</si>
  <si>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</si>
  <si>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</si>
  <si>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</si>
  <si>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</si>
  <si>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</si>
  <si>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</si>
  <si>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</si>
  <si>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</si>
  <si>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</si>
  <si>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</si>
  <si>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</si>
  <si>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</si>
  <si>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</si>
  <si>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</si>
  <si>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</si>
  <si>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</si>
  <si>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</si>
  <si>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</si>
  <si>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</si>
  <si>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</si>
  <si>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</si>
  <si>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</si>
  <si>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</si>
  <si>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</si>
  <si>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</si>
  <si>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</si>
  <si>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</si>
  <si>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</si>
  <si>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</si>
  <si>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</si>
  <si>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</si>
  <si>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</si>
  <si>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</si>
  <si>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</si>
  <si>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</si>
  <si>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</si>
  <si>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</si>
  <si>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</si>
  <si>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</si>
  <si>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</si>
  <si>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</si>
  <si>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</si>
  <si>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</si>
  <si>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</si>
  <si>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</si>
  <si>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</si>
  <si>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</si>
  <si>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</si>
  <si>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</si>
  <si>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</si>
  <si>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</si>
  <si>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</si>
  <si>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 &amp; A Ltda - Posto Independência</t>
  </si>
  <si>
    <t xml:space="preserve">Pau dos Ferros</t>
  </si>
  <si>
    <t xml:space="preserve">03.426.530/0001-94</t>
  </si>
  <si>
    <t xml:space="preserve">2018-127422/TEC/RLO-1143</t>
  </si>
  <si>
    <t xml:space="preserve">Licença vale até 26/12/2026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</si>
  <si>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</si>
  <si>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22/10/2024 — o mais recente da pasta</t>
  </si>
  <si>
    <t xml:space="preserve">Documento na pasta: Certificado emitido em 01/12/2025, válido por 3 meses (o mais recente da pasta)</t>
  </si>
  <si>
    <t xml:space="preserve">Emitir novo certificado no site da ANP (vale 3 meses) e protocolar no Comunic@.</t>
  </si>
  <si>
    <t xml:space="preserve">Documento na pasta: AVCB com validade até 15/10/2026 (data pelo nome do arquivo)</t>
  </si>
  <si>
    <t xml:space="preserve">3 meses após o último envio (20/09/2023)</t>
  </si>
  <si>
    <t xml:space="preserve">C.Dantas Teixeira Me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</si>
  <si>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</si>
  <si>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</si>
  <si>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</si>
  <si>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</si>
  <si>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</si>
  <si>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</si>
  <si>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</si>
  <si>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</si>
  <si>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</si>
  <si>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</si>
  <si>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</si>
  <si>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</si>
  <si>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</si>
  <si>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</si>
  <si>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</si>
  <si>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</si>
  <si>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</si>
  <si>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</si>
  <si>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</si>
  <si>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</si>
  <si>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</si>
  <si>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</si>
  <si>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</si>
  <si>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</si>
  <si>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</si>
  <si>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</si>
  <si>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</si>
  <si>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</si>
  <si>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</si>
  <si>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</si>
  <si>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</si>
  <si>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</si>
  <si>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</si>
  <si>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</si>
  <si>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</si>
  <si>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</si>
  <si>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</si>
  <si>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</si>
  <si>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</si>
  <si>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</si>
  <si>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</si>
  <si>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</si>
  <si>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</si>
  <si>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</si>
  <si>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</si>
  <si>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</si>
  <si>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</si>
  <si>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</si>
  <si>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</si>
  <si>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</si>
  <si>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</si>
  <si>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</si>
  <si>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</si>
  <si>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</si>
  <si>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</si>
  <si>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</si>
  <si>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</si>
  <si>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</si>
  <si>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</si>
  <si>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</si>
  <si>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Glauber Sousa Bessa (Posto Bessa)</t>
  </si>
  <si>
    <t xml:space="preserve">São Miguel</t>
  </si>
  <si>
    <t xml:space="preserve">032.078.574-26</t>
  </si>
  <si>
    <t xml:space="preserve">2023-191538/TEC/LO-0048</t>
  </si>
  <si>
    <t xml:space="preserve">Documento na pasta: Certificado da empresa Posto Bessa Ltda emitido em 10/06/2026, válido por 3 meses (o único da pasta)</t>
  </si>
  <si>
    <t xml:space="preserve">Francisco Valentim Goncalves</t>
  </si>
  <si>
    <t xml:space="preserve">07.951.495/0001-83</t>
  </si>
  <si>
    <t xml:space="preserve">2020-152705/TEC/LO-0151</t>
  </si>
  <si>
    <t xml:space="preserve">G J Santos De Oliveira - Areia Branca</t>
  </si>
  <si>
    <t xml:space="preserve">Areia Branca</t>
  </si>
  <si>
    <t xml:space="preserve">70.156.112/0001-11</t>
  </si>
  <si>
    <t xml:space="preserve">2023-201889/TEC/LO-0305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</si>
  <si>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</si>
  <si>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</si>
  <si>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</si>
  <si>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</si>
  <si>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</si>
  <si>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</si>
  <si>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</si>
  <si>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</si>
  <si>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</si>
  <si>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</si>
  <si>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</si>
  <si>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</si>
  <si>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</si>
  <si>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Gildo Alves De Carvalho — Posto</t>
  </si>
  <si>
    <t xml:space="preserve">SEVERIANO MELO</t>
  </si>
  <si>
    <t xml:space="preserve">04.993.854/0001-77</t>
  </si>
  <si>
    <t xml:space="preserve">2020-156929/TEC/LO-0268</t>
  </si>
  <si>
    <t xml:space="preserve">Licença vale até 08/02/2027 (pedido ≥120 dias antes)</t>
  </si>
  <si>
    <t xml:space="preserve">Documento na pasta: AVCB nº 60927 emitido em 22/04/2025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</si>
  <si>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</si>
  <si>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</si>
  <si>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</si>
  <si>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</si>
  <si>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</si>
  <si>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</si>
  <si>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</si>
  <si>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</si>
  <si>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</si>
  <si>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</si>
  <si>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</si>
  <si>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</si>
  <si>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</si>
  <si>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</si>
  <si>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</si>
  <si>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</si>
  <si>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</si>
  <si>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</si>
  <si>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</si>
  <si>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</si>
  <si>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</si>
  <si>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</si>
  <si>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</si>
  <si>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</si>
  <si>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</si>
  <si>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</si>
  <si>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</si>
  <si>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</si>
  <si>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</si>
  <si>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</si>
  <si>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</si>
  <si>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</si>
  <si>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</si>
  <si>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</si>
  <si>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</si>
  <si>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</si>
  <si>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</si>
  <si>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</si>
  <si>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</si>
  <si>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</si>
  <si>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</si>
  <si>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</si>
  <si>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</si>
  <si>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</si>
  <si>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</si>
  <si>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</si>
  <si>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</si>
  <si>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</si>
  <si>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</si>
  <si>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</si>
  <si>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</si>
  <si>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</si>
  <si>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</si>
  <si>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</si>
  <si>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</si>
  <si>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</si>
  <si>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</si>
  <si>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</si>
  <si>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</si>
  <si>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</si>
  <si>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</si>
  <si>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</si>
  <si>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</si>
  <si>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</si>
  <si>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</si>
  <si>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</si>
  <si>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</si>
  <si>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</si>
  <si>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</si>
  <si>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</si>
  <si>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</si>
  <si>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</si>
  <si>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</si>
  <si>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Certificado de Regularidade (CTF/APP) emitido em 15/05/2025 — o mais recente da pasta</t>
  </si>
  <si>
    <t xml:space="preserve">Documento na pasta: AVCB emitido em 12/02/2025 (o mais recente da pasta 02)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</si>
  <si>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</si>
  <si>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</si>
  <si>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</si>
  <si>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</si>
  <si>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</si>
  <si>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Gangorra Ltda</t>
  </si>
  <si>
    <t xml:space="preserve">Rafael Fernandes</t>
  </si>
  <si>
    <t xml:space="preserve">03.365.159/0001-06</t>
  </si>
  <si>
    <t xml:space="preserve">2020-150998/TEC/RLO-0422</t>
  </si>
  <si>
    <t xml:space="preserve">Licença vale até 04/08/2026 (pedido ≥120 dias antes)</t>
  </si>
  <si>
    <t xml:space="preserve">Documento na pasta: Coleta em 15/06/2026 (pasta 57, CNPJ 19.688.384/0001-05: confirmar se é a mesma empresa) → +3 meses</t>
  </si>
  <si>
    <t xml:space="preserve">Documento na pasta: Verificação de 14/11/2025 (pasta 57); renovação anual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</si>
  <si>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</si>
  <si>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</si>
  <si>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</si>
  <si>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</si>
  <si>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</si>
  <si>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</si>
  <si>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</si>
  <si>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</si>
  <si>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</si>
  <si>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</si>
  <si>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</si>
  <si>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</si>
  <si>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</si>
  <si>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</si>
  <si>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</si>
  <si>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</si>
  <si>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</si>
  <si>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</si>
  <si>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</si>
  <si>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</si>
  <si>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</si>
  <si>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</si>
  <si>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</si>
  <si>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</si>
  <si>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</si>
  <si>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</si>
  <si>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</si>
  <si>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</si>
  <si>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</si>
  <si>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</si>
  <si>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</si>
  <si>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</si>
  <si>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</si>
  <si>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</si>
  <si>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</si>
  <si>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</si>
  <si>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</si>
  <si>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</si>
  <si>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</si>
  <si>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</si>
  <si>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</si>
  <si>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</si>
  <si>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</si>
  <si>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</si>
  <si>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</si>
  <si>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</si>
  <si>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</si>
  <si>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</si>
  <si>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</si>
  <si>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</si>
  <si>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</si>
  <si>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</si>
  <si>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</si>
  <si>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</si>
  <si>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</si>
  <si>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</si>
  <si>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</si>
  <si>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recebida: tem AVCB (válido até 24/10/2027), ANP, TOG de 2023, CR do IBAMA vencido e laudo vencido, mas não tem a licença do IDEMA</t>
  </si>
  <si>
    <t xml:space="preserve">Ferreira &amp; Galdêncio Petróleo</t>
  </si>
  <si>
    <t xml:space="preserve">—</t>
  </si>
  <si>
    <t xml:space="preserve">Pasta 42 tem AVCB e ANP; falta a licença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</si>
  <si>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</si>
  <si>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</si>
  <si>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</si>
  <si>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</si>
  <si>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</si>
  <si>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</si>
  <si>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</si>
  <si>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</si>
  <si>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</si>
  <si>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</si>
  <si>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</si>
  <si>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(pasta 57)</t>
  </si>
  <si>
    <t xml:space="preserve">19.688.384/0001-05</t>
  </si>
  <si>
    <t xml:space="preserve">Os documentos da pasta 57 foram associados à licença do Posto Gangorra (CNPJ 03.365.159/0001-06). Confirmar se são a mesma empresa e, se não, enviar a licença do Alexandre's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</si>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</sst>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COUNTIFS(Pendências!$H$2:$H$158,$A6,Pendências!$J$2:$J$158,"Vencida")</f>
        <v>15</v>
      </c>
      <c r="C6" s="6" t="n">
        <f aca="false">COUNTIFS(Pendências!$H$2:$H$158,$A6,Pendências!$J$2:$J$158,"Sem data")</f>
        <v>0</v>
      </c>
      <c r="D6" s="6" t="n">
        <f aca="false">COUNTIFS(Pendências!$H$2:$H$158,$A6,Pendências!$J$2:$J$158,"Vence em breve")</f>
        <v>0</v>
      </c>
      <c r="E6" s="7" t="n">
        <f aca="false">SUM(B6:D6)</f>
        <v>15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COUNTIFS(Pendências!$H$2:$H$158,$A7,Pendências!$J$2:$J$158,"Vencida")</f>
        <v>10</v>
      </c>
      <c r="C7" s="6" t="n">
        <f aca="false">COUNTIFS(Pendências!$H$2:$H$158,$A7,Pendências!$J$2:$J$158,"Sem data")</f>
        <v>0</v>
      </c>
      <c r="D7" s="6" t="n">
        <f aca="false">COUNTIFS(Pendências!$H$2:$H$158,$A7,Pendências!$J$2:$J$158,"Vence em breve")</f>
        <v>4</v>
      </c>
      <c r="E7" s="7" t="n">
        <f aca="false">SUM(B7:D7)</f>
        <v>14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COUNTIFS(Pendências!$H$2:$H$158,$A8,Pendências!$J$2:$J$158,"Vencida")</f>
        <v>7</v>
      </c>
      <c r="C8" s="6" t="n">
        <f aca="false">COUNTIFS(Pendências!$H$2:$H$158,$A8,Pendências!$J$2:$J$158,"Sem data")</f>
        <v>0</v>
      </c>
      <c r="D8" s="6" t="n">
        <f aca="false">COUNTIFS(Pendências!$H$2:$H$158,$A8,Pendências!$J$2:$J$158,"Vence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COUNTIFS(Pendências!$H$2:$H$158,$A9,Pendências!$J$2:$J$158,"Vencida")</f>
        <v>5</v>
      </c>
      <c r="C9" s="6" t="n">
        <f aca="false">COUNTIFS(Pendências!$H$2:$H$158,$A9,Pendências!$J$2:$J$158,"Sem data")</f>
        <v>0</v>
      </c>
      <c r="D9" s="6" t="n">
        <f aca="false">COUNTIFS(Pendências!$H$2:$H$158,$A9,Pendências!$J$2:$J$158,"Vence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COUNTIFS(Pendências!$H$2:$H$158,$A10,Pendências!$J$2:$J$158,"Vencida")</f>
        <v>3</v>
      </c>
      <c r="C10" s="6" t="n">
        <f aca="false">COUNTIFS(Pendências!$H$2:$H$158,$A10,Pendências!$J$2:$J$158,"Sem data")</f>
        <v>1</v>
      </c>
      <c r="D10" s="6" t="n">
        <f aca="false">COUNTIFS(Pendências!$H$2:$H$158,$A10,Pendências!$J$2:$J$158,"Vence em breve")</f>
        <v>0</v>
      </c>
      <c r="E10" s="7" t="n">
        <f aca="false">SUM(B10:D10)</f>
        <v>4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COUNTIFS(Pendências!$H$2:$H$158,$A11,Pendências!$J$2:$J$158,"Vencida")</f>
        <v>26</v>
      </c>
      <c r="C11" s="6" t="n">
        <f aca="false">COUNTIFS(Pendências!$H$2:$H$158,$A11,Pendências!$J$2:$J$158,"Sem data")</f>
        <v>11</v>
      </c>
      <c r="D11" s="6" t="n">
        <f aca="false">COUNTIFS(Pendências!$H$2:$H$158,$A11,Pendências!$J$2:$J$158,"Vence em breve")</f>
        <v>4</v>
      </c>
      <c r="E11" s="7" t="n">
        <f aca="false">SUM(B11:D11)</f>
        <v>41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COUNTIFS(Pendências!$H$2:$H$158,$A12,Pendências!$J$2:$J$158,"Vencida")</f>
        <v>41</v>
      </c>
      <c r="C12" s="6" t="n">
        <f aca="false">COUNTIFS(Pendências!$H$2:$H$158,$A12,Pendências!$J$2:$J$158,"Sem data")</f>
        <v>9</v>
      </c>
      <c r="D12" s="6" t="n">
        <f aca="false">COUNTIFS(Pendências!$H$2:$H$158,$A12,Pendências!$J$2:$J$158,"Vence em breve")</f>
        <v>0</v>
      </c>
      <c r="E12" s="7" t="n">
        <f aca="false">SUM(B12:D12)</f>
        <v>50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COUNTIFS(Pendências!$H$2:$H$158,$A13,Pendências!$J$2:$J$158,"Vencida")</f>
        <v>1</v>
      </c>
      <c r="C13" s="6" t="n">
        <f aca="false">COUNTIFS(Pendências!$H$2:$H$158,$A13,Pendências!$J$2:$J$158,"Sem data")</f>
        <v>4</v>
      </c>
      <c r="D13" s="6" t="n">
        <f aca="false">COUNTIFS(Pendências!$H$2:$H$158,$A13,Pendências!$J$2:$J$158,"Vence em breve")</f>
        <v>4</v>
      </c>
      <c r="E13" s="7" t="n">
        <f aca="false">SUM(B13:D13)</f>
        <v>9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COUNTIFS(Pendências!$H$2:$H$158,$A14,Pendências!$J$2:$J$158,"Vencida")</f>
        <v>1</v>
      </c>
      <c r="C14" s="6" t="n">
        <f aca="false">COUNTIFS(Pendências!$H$2:$H$158,$A14,Pendências!$J$2:$J$158,"Sem data")</f>
        <v>3</v>
      </c>
      <c r="D14" s="6" t="n">
        <f aca="false">COUNTIFS(Pendências!$H$2:$H$158,$A14,Pendências!$J$2:$J$158,"Vence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COUNTIFS(Pendências!$H$2:$H$158,$A15,Pendências!$J$2:$J$158,"Vencida")</f>
        <v>0</v>
      </c>
      <c r="C15" s="6" t="n">
        <f aca="false">COUNTIFS(Pendências!$H$2:$H$158,$A15,Pendências!$J$2:$J$158,"Sem data")</f>
        <v>4</v>
      </c>
      <c r="D15" s="6" t="n">
        <f aca="false">COUNTIFS(Pendências!$H$2:$H$158,$A15,Pendências!$J$2:$J$158,"Vence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COUNTIFS(Pendências!$H$2:$H$158,$A16,Pendências!$J$2:$J$158,"Vencida")</f>
        <v>0</v>
      </c>
      <c r="C16" s="6" t="n">
        <f aca="false">COUNTIFS(Pendências!$H$2:$H$158,$A16,Pendências!$J$2:$J$158,"Sem data")</f>
        <v>3</v>
      </c>
      <c r="D16" s="6" t="n">
        <f aca="false">COUNTIFS(Pendências!$H$2:$H$158,$A16,Pendências!$J$2:$J$158,"Vence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109</v>
      </c>
      <c r="C17" s="8" t="n">
        <f aca="false">SUM(C6:C16)</f>
        <v>35</v>
      </c>
      <c r="D17" s="8" t="n">
        <f aca="false">SUM(D6:D16)</f>
        <v>13</v>
      </c>
      <c r="E17" s="8" t="n">
        <f aca="false">SUM(E6:E16)</f>
        <v>157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COUNTIF(Pendências!$P$2:$P$158,A20)</f>
        <v>157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COUNTIF(Pendências!$P$2:$P$158,A21)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COUNTIF(Pendências!$P$2:$P$158,A22)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COUNTIF(Pendências!$P$2:$P$158,A23)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COUNTIF(Pendências!$P$2:$P$158,A24)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46382</v>
      </c>
      <c r="H19" s="10" t="s">
        <v>9</v>
      </c>
      <c r="I19" s="10"/>
      <c r="J19" s="10" t="s">
        <v>56</v>
      </c>
      <c r="K19" s="12" t="n">
        <v>46262</v>
      </c>
      <c r="L19" s="13" t="n">
        <f aca="false">IF(K19="","",K19-Resumo!$B$3)</f>
        <v>-56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32.8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46382</v>
      </c>
      <c r="H20" s="10" t="s">
        <v>10</v>
      </c>
      <c r="I20" s="10"/>
      <c r="J20" s="10" t="s">
        <v>56</v>
      </c>
      <c r="K20" s="12" t="n">
        <v>45679</v>
      </c>
      <c r="L20" s="13" t="n">
        <f aca="false">IF(K20="","",K20-Resumo!$B$3)</f>
        <v>-639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22.35" hidden="false" customHeight="false" outlineLevel="0" collapsed="false">
      <c r="A21" s="10" t="n">
        <v>20</v>
      </c>
      <c r="B21" s="11" t="s">
        <v>80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46382</v>
      </c>
      <c r="H21" s="10" t="s">
        <v>13</v>
      </c>
      <c r="I21" s="10"/>
      <c r="J21" s="10" t="s">
        <v>56</v>
      </c>
      <c r="K21" s="12" t="n">
        <v>46082</v>
      </c>
      <c r="L21" s="13" t="n">
        <f aca="false">IF(K21="","",K21-Resumo!$B$3)</f>
        <v>-236</v>
      </c>
      <c r="M21" s="10" t="s">
        <v>101</v>
      </c>
      <c r="N21" s="10" t="s">
        <v>102</v>
      </c>
      <c r="O21" s="14"/>
      <c r="P21" s="14" t="s">
        <v>22</v>
      </c>
      <c r="Q21" s="15"/>
      <c r="R21" s="14"/>
    </row>
    <row r="22" customFormat="false" ht="32.8" hidden="false" customHeight="false" outlineLevel="0" collapsed="false">
      <c r="A22" s="10" t="n">
        <v>21</v>
      </c>
      <c r="B22" s="11" t="s">
        <v>55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46382</v>
      </c>
      <c r="H22" s="10" t="s">
        <v>14</v>
      </c>
      <c r="I22" s="10"/>
      <c r="J22" s="10" t="s">
        <v>56</v>
      </c>
      <c r="K22" s="12" t="n">
        <v>46310</v>
      </c>
      <c r="L22" s="13" t="n">
        <f aca="false">IF(K22="","",K22-Resumo!$B$3)</f>
        <v>-8</v>
      </c>
      <c r="M22" s="10" t="s">
        <v>103</v>
      </c>
      <c r="N22" s="10" t="s">
        <v>54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55</v>
      </c>
      <c r="C23" s="10" t="s">
        <v>94</v>
      </c>
      <c r="D23" s="10" t="s">
        <v>95</v>
      </c>
      <c r="E23" s="10" t="s">
        <v>96</v>
      </c>
      <c r="F23" s="10" t="s">
        <v>97</v>
      </c>
      <c r="G23" s="12" t="n">
        <v>46382</v>
      </c>
      <c r="H23" s="10" t="s">
        <v>15</v>
      </c>
      <c r="I23" s="10"/>
      <c r="J23" s="10" t="s">
        <v>56</v>
      </c>
      <c r="K23" s="12" t="n">
        <v>45280</v>
      </c>
      <c r="L23" s="13" t="n">
        <f aca="false">IF(K23="","",K23-Resumo!$B$3)</f>
        <v>-1038</v>
      </c>
      <c r="M23" s="10" t="s">
        <v>104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95</v>
      </c>
      <c r="E24" s="10" t="s">
        <v>106</v>
      </c>
      <c r="F24" s="10" t="s">
        <v>107</v>
      </c>
      <c r="G24" s="12" t="n">
        <v>46374</v>
      </c>
      <c r="H24" s="10" t="s">
        <v>9</v>
      </c>
      <c r="I24" s="10" t="n">
        <v>21</v>
      </c>
      <c r="J24" s="10" t="s">
        <v>56</v>
      </c>
      <c r="K24" s="12" t="n">
        <v>46254</v>
      </c>
      <c r="L24" s="13" t="n">
        <f aca="false">IF(K24="","",K24-Resumo!$B$3)</f>
        <v>-64</v>
      </c>
      <c r="M24" s="10" t="s">
        <v>108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80</v>
      </c>
      <c r="C25" s="10" t="s">
        <v>105</v>
      </c>
      <c r="D25" s="10" t="s">
        <v>95</v>
      </c>
      <c r="E25" s="10" t="s">
        <v>106</v>
      </c>
      <c r="F25" s="10" t="s">
        <v>107</v>
      </c>
      <c r="G25" s="12" t="n">
        <v>46374</v>
      </c>
      <c r="H25" s="10" t="s">
        <v>10</v>
      </c>
      <c r="I25" s="10"/>
      <c r="J25" s="10" t="s">
        <v>56</v>
      </c>
      <c r="K25" s="12" t="n">
        <v>46303</v>
      </c>
      <c r="L25" s="13" t="n">
        <f aca="false">IF(K25="","",K25-Resumo!$B$3)</f>
        <v>-15</v>
      </c>
      <c r="M25" s="10" t="s">
        <v>109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95</v>
      </c>
      <c r="E26" s="10" t="s">
        <v>106</v>
      </c>
      <c r="F26" s="10" t="s">
        <v>107</v>
      </c>
      <c r="G26" s="12" t="n">
        <v>46374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95</v>
      </c>
      <c r="E27" s="10" t="s">
        <v>106</v>
      </c>
      <c r="F27" s="10" t="s">
        <v>107</v>
      </c>
      <c r="G27" s="12" t="n">
        <v>46374</v>
      </c>
      <c r="H27" s="10" t="s">
        <v>15</v>
      </c>
      <c r="I27" s="10" t="n">
        <v>17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22.35" hidden="false" customHeight="false" outlineLevel="0" collapsed="false">
      <c r="A28" s="10" t="n">
        <v>27</v>
      </c>
      <c r="B28" s="11" t="s">
        <v>45</v>
      </c>
      <c r="C28" s="10" t="s">
        <v>110</v>
      </c>
      <c r="D28" s="10" t="s">
        <v>111</v>
      </c>
      <c r="E28" s="10" t="s">
        <v>112</v>
      </c>
      <c r="F28" s="10" t="s">
        <v>113</v>
      </c>
      <c r="G28" s="12" t="n">
        <v>48100</v>
      </c>
      <c r="H28" s="10" t="s">
        <v>15</v>
      </c>
      <c r="I28" s="10" t="n">
        <v>16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58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55</v>
      </c>
      <c r="C29" s="10" t="s">
        <v>114</v>
      </c>
      <c r="D29" s="10" t="s">
        <v>115</v>
      </c>
      <c r="E29" s="10" t="s">
        <v>116</v>
      </c>
      <c r="F29" s="10" t="s">
        <v>117</v>
      </c>
      <c r="G29" s="12" t="n">
        <v>44080</v>
      </c>
      <c r="H29" s="10" t="s">
        <v>9</v>
      </c>
      <c r="I29" s="10" t="n">
        <v>24</v>
      </c>
      <c r="J29" s="10" t="s">
        <v>56</v>
      </c>
      <c r="K29" s="12" t="n">
        <v>43960</v>
      </c>
      <c r="L29" s="13" t="n">
        <f aca="false">IF(K29="","",K29-Resumo!$B$3)</f>
        <v>-2358</v>
      </c>
      <c r="M29" s="10" t="s">
        <v>118</v>
      </c>
      <c r="N29" s="10" t="s">
        <v>99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45</v>
      </c>
      <c r="C30" s="10" t="s">
        <v>114</v>
      </c>
      <c r="D30" s="10" t="s">
        <v>115</v>
      </c>
      <c r="E30" s="10" t="s">
        <v>116</v>
      </c>
      <c r="F30" s="10" t="s">
        <v>117</v>
      </c>
      <c r="G30" s="12" t="n">
        <v>44080</v>
      </c>
      <c r="H30" s="10" t="s">
        <v>10</v>
      </c>
      <c r="I30" s="10"/>
      <c r="J30" s="10" t="s">
        <v>50</v>
      </c>
      <c r="K30" s="12" t="n">
        <v>46346</v>
      </c>
      <c r="L30" s="13" t="n">
        <f aca="false">IF(K30="","",K30-Resumo!$B$3)</f>
        <v>28</v>
      </c>
      <c r="M30" s="10" t="s">
        <v>119</v>
      </c>
      <c r="N30" s="10" t="s">
        <v>52</v>
      </c>
      <c r="O30" s="14"/>
      <c r="P30" s="14" t="s">
        <v>22</v>
      </c>
      <c r="Q30" s="15"/>
      <c r="R30" s="14"/>
    </row>
    <row r="31" customFormat="false" ht="32.8" hidden="false" customHeight="false" outlineLevel="0" collapsed="false">
      <c r="A31" s="10" t="n">
        <v>30</v>
      </c>
      <c r="B31" s="11" t="s">
        <v>45</v>
      </c>
      <c r="C31" s="10" t="s">
        <v>114</v>
      </c>
      <c r="D31" s="10" t="s">
        <v>115</v>
      </c>
      <c r="E31" s="10" t="s">
        <v>116</v>
      </c>
      <c r="F31" s="10" t="s">
        <v>117</v>
      </c>
      <c r="G31" s="12" t="n">
        <v>44080</v>
      </c>
      <c r="H31" s="10" t="s">
        <v>14</v>
      </c>
      <c r="I31" s="10" t="n">
        <v>5</v>
      </c>
      <c r="J31" s="10" t="s">
        <v>6</v>
      </c>
      <c r="K31" s="12"/>
      <c r="L31" s="13" t="str">
        <f aca="false">IF(K31="","",K31-Resumo!$B$3)</f>
        <v/>
      </c>
      <c r="M31" s="10" t="s">
        <v>79</v>
      </c>
      <c r="N31" s="10" t="s">
        <v>54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45</v>
      </c>
      <c r="C32" s="10" t="s">
        <v>114</v>
      </c>
      <c r="D32" s="10" t="s">
        <v>115</v>
      </c>
      <c r="E32" s="10" t="s">
        <v>116</v>
      </c>
      <c r="F32" s="10" t="s">
        <v>117</v>
      </c>
      <c r="G32" s="12" t="n">
        <v>44080</v>
      </c>
      <c r="H32" s="10" t="s">
        <v>15</v>
      </c>
      <c r="I32" s="10" t="n">
        <v>15</v>
      </c>
      <c r="J32" s="10" t="s">
        <v>6</v>
      </c>
      <c r="K32" s="12"/>
      <c r="L32" s="13" t="str">
        <f aca="false">IF(K32="","",K32-Resumo!$B$3)</f>
        <v/>
      </c>
      <c r="M32" s="10" t="s">
        <v>79</v>
      </c>
      <c r="N32" s="10" t="s">
        <v>58</v>
      </c>
      <c r="O32" s="14"/>
      <c r="P32" s="14" t="s">
        <v>22</v>
      </c>
      <c r="Q32" s="15"/>
      <c r="R32" s="14"/>
    </row>
    <row r="33" customFormat="false" ht="32.8" hidden="false" customHeight="false" outlineLevel="0" collapsed="false">
      <c r="A33" s="10" t="n">
        <v>32</v>
      </c>
      <c r="B33" s="11" t="s">
        <v>45</v>
      </c>
      <c r="C33" s="10" t="s">
        <v>120</v>
      </c>
      <c r="D33" s="10" t="s">
        <v>121</v>
      </c>
      <c r="E33" s="10" t="s">
        <v>122</v>
      </c>
      <c r="F33" s="10" t="s">
        <v>123</v>
      </c>
      <c r="G33" s="12" t="n">
        <v>46595</v>
      </c>
      <c r="H33" s="10" t="s">
        <v>14</v>
      </c>
      <c r="I33" s="10" t="n">
        <v>5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54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120</v>
      </c>
      <c r="D34" s="10" t="s">
        <v>121</v>
      </c>
      <c r="E34" s="10" t="s">
        <v>122</v>
      </c>
      <c r="F34" s="10" t="s">
        <v>123</v>
      </c>
      <c r="G34" s="12" t="n">
        <v>46595</v>
      </c>
      <c r="H34" s="10" t="s">
        <v>15</v>
      </c>
      <c r="I34" s="10" t="n">
        <v>15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58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80</v>
      </c>
      <c r="C35" s="10" t="s">
        <v>124</v>
      </c>
      <c r="D35" s="10" t="s">
        <v>125</v>
      </c>
      <c r="E35" s="10" t="s">
        <v>126</v>
      </c>
      <c r="F35" s="10" t="s">
        <v>127</v>
      </c>
      <c r="G35" s="12" t="n">
        <v>48215</v>
      </c>
      <c r="H35" s="10" t="s">
        <v>11</v>
      </c>
      <c r="I35" s="10" t="n">
        <v>19</v>
      </c>
      <c r="J35" s="10" t="s">
        <v>56</v>
      </c>
      <c r="K35" s="12" t="n">
        <v>46034</v>
      </c>
      <c r="L35" s="13" t="n">
        <f aca="false">IF(K35="","",K35-Resumo!$B$3)</f>
        <v>-284</v>
      </c>
      <c r="M35" s="10" t="s">
        <v>85</v>
      </c>
      <c r="N35" s="10" t="s">
        <v>86</v>
      </c>
      <c r="O35" s="14"/>
      <c r="P35" s="14" t="s">
        <v>22</v>
      </c>
      <c r="Q35" s="15"/>
      <c r="R35" s="14"/>
    </row>
    <row r="36" customFormat="false" ht="22.35" hidden="false" customHeight="false" outlineLevel="0" collapsed="false">
      <c r="A36" s="10" t="n">
        <v>35</v>
      </c>
      <c r="B36" s="11" t="s">
        <v>80</v>
      </c>
      <c r="C36" s="10" t="s">
        <v>124</v>
      </c>
      <c r="D36" s="10" t="s">
        <v>125</v>
      </c>
      <c r="E36" s="10" t="s">
        <v>126</v>
      </c>
      <c r="F36" s="10" t="s">
        <v>127</v>
      </c>
      <c r="G36" s="12" t="n">
        <v>48215</v>
      </c>
      <c r="H36" s="10" t="s">
        <v>12</v>
      </c>
      <c r="I36" s="10" t="n">
        <v>17</v>
      </c>
      <c r="J36" s="10" t="s">
        <v>56</v>
      </c>
      <c r="K36" s="12" t="n">
        <v>46114</v>
      </c>
      <c r="L36" s="13" t="n">
        <f aca="false">IF(K36="","",K36-Resumo!$B$3)</f>
        <v>-204</v>
      </c>
      <c r="M36" s="10" t="s">
        <v>87</v>
      </c>
      <c r="N36" s="10" t="s">
        <v>88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55</v>
      </c>
      <c r="C37" s="10" t="s">
        <v>124</v>
      </c>
      <c r="D37" s="10" t="s">
        <v>125</v>
      </c>
      <c r="E37" s="10" t="s">
        <v>126</v>
      </c>
      <c r="F37" s="10" t="s">
        <v>127</v>
      </c>
      <c r="G37" s="12" t="n">
        <v>48215</v>
      </c>
      <c r="H37" s="10" t="s">
        <v>15</v>
      </c>
      <c r="I37" s="10" t="n">
        <v>15</v>
      </c>
      <c r="J37" s="10" t="s">
        <v>56</v>
      </c>
      <c r="K37" s="12" t="n">
        <v>46281</v>
      </c>
      <c r="L37" s="13" t="n">
        <f aca="false">IF(K37="","",K37-Resumo!$B$3)</f>
        <v>-37</v>
      </c>
      <c r="M37" s="10" t="s">
        <v>57</v>
      </c>
      <c r="N37" s="10" t="s">
        <v>58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45</v>
      </c>
      <c r="C38" s="10" t="s">
        <v>124</v>
      </c>
      <c r="D38" s="10" t="s">
        <v>125</v>
      </c>
      <c r="E38" s="10" t="s">
        <v>126</v>
      </c>
      <c r="F38" s="10" t="s">
        <v>127</v>
      </c>
      <c r="G38" s="12" t="n">
        <v>48215</v>
      </c>
      <c r="H38" s="10" t="s">
        <v>16</v>
      </c>
      <c r="I38" s="10" t="n">
        <v>8</v>
      </c>
      <c r="J38" s="10" t="s">
        <v>6</v>
      </c>
      <c r="K38" s="12"/>
      <c r="L38" s="13" t="str">
        <f aca="false">IF(K38="","",K38-Resumo!$B$3)</f>
        <v/>
      </c>
      <c r="M38" s="10" t="s">
        <v>79</v>
      </c>
      <c r="N38" s="10" t="s">
        <v>90</v>
      </c>
      <c r="O38" s="14"/>
      <c r="P38" s="14" t="s">
        <v>22</v>
      </c>
      <c r="Q38" s="15"/>
      <c r="R38" s="14"/>
    </row>
    <row r="39" customFormat="false" ht="22.35" hidden="false" customHeight="false" outlineLevel="0" collapsed="false">
      <c r="A39" s="10" t="n">
        <v>38</v>
      </c>
      <c r="B39" s="11" t="s">
        <v>45</v>
      </c>
      <c r="C39" s="10" t="s">
        <v>124</v>
      </c>
      <c r="D39" s="10" t="s">
        <v>125</v>
      </c>
      <c r="E39" s="10" t="s">
        <v>126</v>
      </c>
      <c r="F39" s="10" t="s">
        <v>127</v>
      </c>
      <c r="G39" s="12" t="n">
        <v>48215</v>
      </c>
      <c r="H39" s="10" t="s">
        <v>17</v>
      </c>
      <c r="I39" s="10" t="n">
        <v>14</v>
      </c>
      <c r="J39" s="10" t="s">
        <v>6</v>
      </c>
      <c r="K39" s="12"/>
      <c r="L39" s="13" t="str">
        <f aca="false">IF(K39="","",K39-Resumo!$B$3)</f>
        <v/>
      </c>
      <c r="M39" s="10" t="s">
        <v>79</v>
      </c>
      <c r="N39" s="10" t="s">
        <v>92</v>
      </c>
      <c r="O39" s="14"/>
      <c r="P39" s="14" t="s">
        <v>22</v>
      </c>
      <c r="Q39" s="15"/>
      <c r="R39" s="14"/>
    </row>
    <row r="40" customFormat="false" ht="22.35" hidden="false" customHeight="false" outlineLevel="0" collapsed="false">
      <c r="A40" s="10" t="n">
        <v>39</v>
      </c>
      <c r="B40" s="11" t="s">
        <v>45</v>
      </c>
      <c r="C40" s="10" t="s">
        <v>124</v>
      </c>
      <c r="D40" s="10" t="s">
        <v>125</v>
      </c>
      <c r="E40" s="10" t="s">
        <v>126</v>
      </c>
      <c r="F40" s="10" t="s">
        <v>127</v>
      </c>
      <c r="G40" s="12" t="n">
        <v>48215</v>
      </c>
      <c r="H40" s="10" t="s">
        <v>18</v>
      </c>
      <c r="I40" s="10" t="n">
        <v>8</v>
      </c>
      <c r="J40" s="10" t="s">
        <v>6</v>
      </c>
      <c r="K40" s="12"/>
      <c r="L40" s="13" t="str">
        <f aca="false">IF(K40="","",K40-Resumo!$B$3)</f>
        <v/>
      </c>
      <c r="M40" s="10" t="s">
        <v>79</v>
      </c>
      <c r="N40" s="10" t="s">
        <v>93</v>
      </c>
      <c r="O40" s="14"/>
      <c r="P40" s="14" t="s">
        <v>22</v>
      </c>
      <c r="Q40" s="15"/>
      <c r="R40" s="14"/>
    </row>
    <row r="41" customFormat="false" ht="32.8" hidden="false" customHeight="false" outlineLevel="0" collapsed="false">
      <c r="A41" s="10" t="n">
        <v>40</v>
      </c>
      <c r="B41" s="11" t="s">
        <v>55</v>
      </c>
      <c r="C41" s="10" t="s">
        <v>128</v>
      </c>
      <c r="D41" s="10" t="s">
        <v>129</v>
      </c>
      <c r="E41" s="10" t="s">
        <v>130</v>
      </c>
      <c r="F41" s="10" t="s">
        <v>131</v>
      </c>
      <c r="G41" s="12" t="n">
        <v>47766</v>
      </c>
      <c r="H41" s="10" t="s">
        <v>14</v>
      </c>
      <c r="I41" s="10" t="n">
        <v>4</v>
      </c>
      <c r="J41" s="10" t="s">
        <v>56</v>
      </c>
      <c r="K41" s="12" t="n">
        <v>45995</v>
      </c>
      <c r="L41" s="13" t="n">
        <f aca="false">IF(K41="","",K41-Resumo!$B$3)</f>
        <v>-323</v>
      </c>
      <c r="M41" s="10" t="s">
        <v>63</v>
      </c>
      <c r="N41" s="10" t="s">
        <v>54</v>
      </c>
      <c r="O41" s="14"/>
      <c r="P41" s="14" t="s">
        <v>22</v>
      </c>
      <c r="Q41" s="15"/>
      <c r="R41" s="14"/>
    </row>
    <row r="42" customFormat="false" ht="22.35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70</v>
      </c>
      <c r="E42" s="10" t="s">
        <v>133</v>
      </c>
      <c r="F42" s="10" t="s">
        <v>134</v>
      </c>
      <c r="G42" s="12" t="n">
        <v>47193</v>
      </c>
      <c r="H42" s="10" t="s">
        <v>11</v>
      </c>
      <c r="I42" s="10" t="n">
        <v>15</v>
      </c>
      <c r="J42" s="10" t="s">
        <v>56</v>
      </c>
      <c r="K42" s="12" t="n">
        <v>46131</v>
      </c>
      <c r="L42" s="13" t="n">
        <f aca="false">IF(K42="","",K42-Resumo!$B$3)</f>
        <v>-187</v>
      </c>
      <c r="M42" s="10" t="s">
        <v>85</v>
      </c>
      <c r="N42" s="10" t="s">
        <v>86</v>
      </c>
      <c r="O42" s="14"/>
      <c r="P42" s="14" t="s">
        <v>22</v>
      </c>
      <c r="Q42" s="15"/>
      <c r="R42" s="14"/>
    </row>
    <row r="43" customFormat="false" ht="22.35" hidden="false" customHeight="false" outlineLevel="0" collapsed="false">
      <c r="A43" s="10" t="n">
        <v>42</v>
      </c>
      <c r="B43" s="11" t="s">
        <v>80</v>
      </c>
      <c r="C43" s="10" t="s">
        <v>132</v>
      </c>
      <c r="D43" s="10" t="s">
        <v>70</v>
      </c>
      <c r="E43" s="10" t="s">
        <v>133</v>
      </c>
      <c r="F43" s="10" t="s">
        <v>134</v>
      </c>
      <c r="G43" s="12" t="n">
        <v>47193</v>
      </c>
      <c r="H43" s="10" t="s">
        <v>12</v>
      </c>
      <c r="I43" s="10" t="n">
        <v>13</v>
      </c>
      <c r="J43" s="10" t="s">
        <v>56</v>
      </c>
      <c r="K43" s="12" t="n">
        <v>46211</v>
      </c>
      <c r="L43" s="13" t="n">
        <f aca="false">IF(K43="","",K43-Resumo!$B$3)</f>
        <v>-107</v>
      </c>
      <c r="M43" s="10" t="s">
        <v>87</v>
      </c>
      <c r="N43" s="10" t="s">
        <v>88</v>
      </c>
      <c r="O43" s="14"/>
      <c r="P43" s="14" t="s">
        <v>22</v>
      </c>
      <c r="Q43" s="15"/>
      <c r="R43" s="14"/>
    </row>
    <row r="44" customFormat="false" ht="32.8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70</v>
      </c>
      <c r="E44" s="10" t="s">
        <v>133</v>
      </c>
      <c r="F44" s="10" t="s">
        <v>134</v>
      </c>
      <c r="G44" s="12" t="n">
        <v>47193</v>
      </c>
      <c r="H44" s="10" t="s">
        <v>14</v>
      </c>
      <c r="I44" s="10" t="n">
        <v>5</v>
      </c>
      <c r="J44" s="10" t="s">
        <v>50</v>
      </c>
      <c r="K44" s="12" t="n">
        <v>46323</v>
      </c>
      <c r="L44" s="13" t="n">
        <f aca="false">IF(K44="","",K44-Resumo!$B$3)</f>
        <v>5</v>
      </c>
      <c r="M44" s="10" t="s">
        <v>135</v>
      </c>
      <c r="N44" s="10" t="s">
        <v>54</v>
      </c>
      <c r="O44" s="14"/>
      <c r="P44" s="14" t="s">
        <v>22</v>
      </c>
      <c r="Q44" s="15"/>
      <c r="R44" s="14"/>
    </row>
    <row r="45" customFormat="false" ht="32.8" hidden="false" customHeight="false" outlineLevel="0" collapsed="false">
      <c r="A45" s="10" t="n">
        <v>44</v>
      </c>
      <c r="B45" s="11" t="s">
        <v>55</v>
      </c>
      <c r="C45" s="10" t="s">
        <v>136</v>
      </c>
      <c r="D45" s="10" t="s">
        <v>137</v>
      </c>
      <c r="E45" s="10" t="s">
        <v>138</v>
      </c>
      <c r="F45" s="10" t="s">
        <v>139</v>
      </c>
      <c r="G45" s="12" t="n">
        <v>47037</v>
      </c>
      <c r="H45" s="10" t="s">
        <v>14</v>
      </c>
      <c r="I45" s="10" t="n">
        <v>5</v>
      </c>
      <c r="J45" s="10" t="s">
        <v>56</v>
      </c>
      <c r="K45" s="12" t="n">
        <v>46225</v>
      </c>
      <c r="L45" s="13" t="n">
        <f aca="false">IF(K45="","",K45-Resumo!$B$3)</f>
        <v>-93</v>
      </c>
      <c r="M45" s="10" t="s">
        <v>140</v>
      </c>
      <c r="N45" s="10" t="s">
        <v>54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136</v>
      </c>
      <c r="D46" s="10" t="s">
        <v>137</v>
      </c>
      <c r="E46" s="10" t="s">
        <v>138</v>
      </c>
      <c r="F46" s="10" t="s">
        <v>139</v>
      </c>
      <c r="G46" s="12" t="n">
        <v>47037</v>
      </c>
      <c r="H46" s="10" t="s">
        <v>15</v>
      </c>
      <c r="I46" s="10" t="n">
        <v>15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32.8" hidden="false" customHeight="false" outlineLevel="0" collapsed="false">
      <c r="A47" s="10" t="n">
        <v>46</v>
      </c>
      <c r="B47" s="11" t="s">
        <v>80</v>
      </c>
      <c r="C47" s="10" t="s">
        <v>141</v>
      </c>
      <c r="D47" s="10" t="s">
        <v>142</v>
      </c>
      <c r="E47" s="10" t="s">
        <v>143</v>
      </c>
      <c r="F47" s="10" t="s">
        <v>144</v>
      </c>
      <c r="G47" s="12" t="n">
        <v>48208</v>
      </c>
      <c r="H47" s="10" t="s">
        <v>10</v>
      </c>
      <c r="I47" s="10"/>
      <c r="J47" s="10" t="s">
        <v>56</v>
      </c>
      <c r="K47" s="12" t="n">
        <v>45322</v>
      </c>
      <c r="L47" s="13" t="n">
        <f aca="false">IF(K47="","",K47-Resumo!$B$3)</f>
        <v>-996</v>
      </c>
      <c r="M47" s="10" t="s">
        <v>145</v>
      </c>
      <c r="N47" s="10" t="s">
        <v>52</v>
      </c>
      <c r="O47" s="14"/>
      <c r="P47" s="14" t="s">
        <v>22</v>
      </c>
      <c r="Q47" s="15"/>
      <c r="R47" s="14"/>
    </row>
    <row r="48" customFormat="false" ht="32.8" hidden="false" customHeight="false" outlineLevel="0" collapsed="false">
      <c r="A48" s="10" t="n">
        <v>47</v>
      </c>
      <c r="B48" s="11" t="s">
        <v>55</v>
      </c>
      <c r="C48" s="10" t="s">
        <v>141</v>
      </c>
      <c r="D48" s="10" t="s">
        <v>142</v>
      </c>
      <c r="E48" s="10" t="s">
        <v>143</v>
      </c>
      <c r="F48" s="10" t="s">
        <v>144</v>
      </c>
      <c r="G48" s="12" t="n">
        <v>48208</v>
      </c>
      <c r="H48" s="10" t="s">
        <v>14</v>
      </c>
      <c r="I48" s="10" t="n">
        <v>5</v>
      </c>
      <c r="J48" s="10" t="s">
        <v>56</v>
      </c>
      <c r="K48" s="12" t="n">
        <v>46239</v>
      </c>
      <c r="L48" s="13" t="n">
        <f aca="false">IF(K48="","",K48-Resumo!$B$3)</f>
        <v>-79</v>
      </c>
      <c r="M48" s="10" t="s">
        <v>146</v>
      </c>
      <c r="N48" s="10" t="s">
        <v>54</v>
      </c>
      <c r="O48" s="14"/>
      <c r="P48" s="14" t="s">
        <v>22</v>
      </c>
      <c r="Q48" s="15"/>
      <c r="R48" s="14"/>
    </row>
    <row r="49" customFormat="false" ht="22.35" hidden="false" customHeight="false" outlineLevel="0" collapsed="false">
      <c r="A49" s="10" t="n">
        <v>48</v>
      </c>
      <c r="B49" s="11" t="s">
        <v>55</v>
      </c>
      <c r="C49" s="10" t="s">
        <v>141</v>
      </c>
      <c r="D49" s="10" t="s">
        <v>142</v>
      </c>
      <c r="E49" s="10" t="s">
        <v>143</v>
      </c>
      <c r="F49" s="10" t="s">
        <v>144</v>
      </c>
      <c r="G49" s="12" t="n">
        <v>48208</v>
      </c>
      <c r="H49" s="10" t="s">
        <v>15</v>
      </c>
      <c r="I49" s="10" t="n">
        <v>10</v>
      </c>
      <c r="J49" s="10" t="s">
        <v>56</v>
      </c>
      <c r="K49" s="12" t="n">
        <v>46282</v>
      </c>
      <c r="L49" s="13" t="n">
        <f aca="false">IF(K49="","",K49-Resumo!$B$3)</f>
        <v>-36</v>
      </c>
      <c r="M49" s="10" t="s">
        <v>74</v>
      </c>
      <c r="N49" s="10" t="s">
        <v>58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45</v>
      </c>
      <c r="C50" s="10" t="s">
        <v>141</v>
      </c>
      <c r="D50" s="10" t="s">
        <v>142</v>
      </c>
      <c r="E50" s="10" t="s">
        <v>143</v>
      </c>
      <c r="F50" s="10" t="s">
        <v>144</v>
      </c>
      <c r="G50" s="12" t="n">
        <v>48208</v>
      </c>
      <c r="H50" s="10" t="s">
        <v>19</v>
      </c>
      <c r="I50" s="10" t="n">
        <v>11</v>
      </c>
      <c r="J50" s="10" t="s">
        <v>6</v>
      </c>
      <c r="K50" s="12"/>
      <c r="L50" s="13" t="str">
        <f aca="false">IF(K50="","",K50-Resumo!$B$3)</f>
        <v/>
      </c>
      <c r="M50" s="10" t="s">
        <v>79</v>
      </c>
      <c r="N50" s="10" t="s">
        <v>147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55</v>
      </c>
      <c r="C51" s="10" t="s">
        <v>148</v>
      </c>
      <c r="D51" s="10" t="s">
        <v>149</v>
      </c>
      <c r="E51" s="10" t="s">
        <v>150</v>
      </c>
      <c r="F51" s="10" t="s">
        <v>151</v>
      </c>
      <c r="G51" s="12" t="n">
        <v>47333</v>
      </c>
      <c r="H51" s="10" t="s">
        <v>15</v>
      </c>
      <c r="I51" s="10" t="n">
        <v>14</v>
      </c>
      <c r="J51" s="10" t="s">
        <v>56</v>
      </c>
      <c r="K51" s="12" t="n">
        <v>46282</v>
      </c>
      <c r="L51" s="13" t="n">
        <f aca="false">IF(K51="","",K51-Resumo!$B$3)</f>
        <v>-36</v>
      </c>
      <c r="M51" s="10" t="s">
        <v>74</v>
      </c>
      <c r="N51" s="10" t="s">
        <v>58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80</v>
      </c>
      <c r="C52" s="10" t="s">
        <v>152</v>
      </c>
      <c r="D52" s="10" t="s">
        <v>142</v>
      </c>
      <c r="E52" s="10" t="s">
        <v>153</v>
      </c>
      <c r="F52" s="10" t="s">
        <v>154</v>
      </c>
      <c r="G52" s="12" t="n">
        <v>48394</v>
      </c>
      <c r="H52" s="10" t="s">
        <v>11</v>
      </c>
      <c r="I52" s="10" t="n">
        <v>22</v>
      </c>
      <c r="J52" s="10" t="s">
        <v>56</v>
      </c>
      <c r="K52" s="12" t="n">
        <v>46212</v>
      </c>
      <c r="L52" s="13" t="n">
        <f aca="false">IF(K52="","",K52-Resumo!$B$3)</f>
        <v>-106</v>
      </c>
      <c r="M52" s="10" t="s">
        <v>85</v>
      </c>
      <c r="N52" s="10" t="s">
        <v>86</v>
      </c>
      <c r="O52" s="14"/>
      <c r="P52" s="14" t="s">
        <v>22</v>
      </c>
      <c r="Q52" s="15"/>
      <c r="R52" s="14"/>
    </row>
    <row r="53" customFormat="false" ht="15" hidden="false" customHeight="false" outlineLevel="0" collapsed="false">
      <c r="A53" s="10" t="n">
        <v>52</v>
      </c>
      <c r="B53" s="11" t="s">
        <v>80</v>
      </c>
      <c r="C53" s="10" t="s">
        <v>152</v>
      </c>
      <c r="D53" s="10" t="s">
        <v>142</v>
      </c>
      <c r="E53" s="10" t="s">
        <v>153</v>
      </c>
      <c r="F53" s="10" t="s">
        <v>154</v>
      </c>
      <c r="G53" s="12" t="n">
        <v>48394</v>
      </c>
      <c r="H53" s="10" t="s">
        <v>12</v>
      </c>
      <c r="I53" s="10" t="n">
        <v>19</v>
      </c>
      <c r="J53" s="10" t="s">
        <v>56</v>
      </c>
      <c r="K53" s="12" t="n">
        <v>46292</v>
      </c>
      <c r="L53" s="13" t="n">
        <f aca="false">IF(K53="","",K53-Resumo!$B$3)</f>
        <v>-26</v>
      </c>
      <c r="M53" s="10" t="s">
        <v>87</v>
      </c>
      <c r="N53" s="10" t="s">
        <v>88</v>
      </c>
      <c r="O53" s="14"/>
      <c r="P53" s="14" t="s">
        <v>22</v>
      </c>
      <c r="Q53" s="15"/>
      <c r="R53" s="14"/>
    </row>
    <row r="54" customFormat="false" ht="32.8" hidden="false" customHeight="false" outlineLevel="0" collapsed="false">
      <c r="A54" s="10" t="n">
        <v>53</v>
      </c>
      <c r="B54" s="11" t="s">
        <v>55</v>
      </c>
      <c r="C54" s="10" t="s">
        <v>152</v>
      </c>
      <c r="D54" s="10" t="s">
        <v>142</v>
      </c>
      <c r="E54" s="10" t="s">
        <v>153</v>
      </c>
      <c r="F54" s="10" t="s">
        <v>154</v>
      </c>
      <c r="G54" s="12" t="n">
        <v>48394</v>
      </c>
      <c r="H54" s="10" t="s">
        <v>14</v>
      </c>
      <c r="I54" s="10" t="n">
        <v>5</v>
      </c>
      <c r="J54" s="10" t="s">
        <v>50</v>
      </c>
      <c r="K54" s="12" t="n">
        <v>46323</v>
      </c>
      <c r="L54" s="13" t="n">
        <f aca="false">IF(K54="","",K54-Resumo!$B$3)</f>
        <v>5</v>
      </c>
      <c r="M54" s="10" t="s">
        <v>155</v>
      </c>
      <c r="N54" s="10" t="s">
        <v>54</v>
      </c>
      <c r="O54" s="14"/>
      <c r="P54" s="14" t="s">
        <v>22</v>
      </c>
      <c r="Q54" s="15"/>
      <c r="R54" s="14"/>
    </row>
    <row r="55" customFormat="false" ht="22.35" hidden="false" customHeight="false" outlineLevel="0" collapsed="false">
      <c r="A55" s="10" t="n">
        <v>54</v>
      </c>
      <c r="B55" s="11" t="s">
        <v>55</v>
      </c>
      <c r="C55" s="10" t="s">
        <v>152</v>
      </c>
      <c r="D55" s="10" t="s">
        <v>142</v>
      </c>
      <c r="E55" s="10" t="s">
        <v>153</v>
      </c>
      <c r="F55" s="10" t="s">
        <v>154</v>
      </c>
      <c r="G55" s="12" t="n">
        <v>48394</v>
      </c>
      <c r="H55" s="10" t="s">
        <v>15</v>
      </c>
      <c r="I55" s="10" t="n">
        <v>15</v>
      </c>
      <c r="J55" s="10" t="s">
        <v>56</v>
      </c>
      <c r="K55" s="12" t="n">
        <v>46282</v>
      </c>
      <c r="L55" s="13" t="n">
        <f aca="false">IF(K55="","",K55-Resumo!$B$3)</f>
        <v>-36</v>
      </c>
      <c r="M55" s="10" t="s">
        <v>74</v>
      </c>
      <c r="N55" s="10" t="s">
        <v>58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80</v>
      </c>
      <c r="C56" s="10" t="s">
        <v>152</v>
      </c>
      <c r="D56" s="10" t="s">
        <v>142</v>
      </c>
      <c r="E56" s="10" t="s">
        <v>153</v>
      </c>
      <c r="F56" s="10" t="s">
        <v>154</v>
      </c>
      <c r="G56" s="12" t="n">
        <v>48394</v>
      </c>
      <c r="H56" s="10" t="s">
        <v>16</v>
      </c>
      <c r="I56" s="10" t="n">
        <v>14</v>
      </c>
      <c r="J56" s="10" t="s">
        <v>56</v>
      </c>
      <c r="K56" s="12" t="n">
        <v>44478</v>
      </c>
      <c r="L56" s="13" t="n">
        <f aca="false">IF(K56="","",K56-Resumo!$B$3)</f>
        <v>-1840</v>
      </c>
      <c r="M56" s="10" t="s">
        <v>156</v>
      </c>
      <c r="N56" s="10" t="s">
        <v>90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152</v>
      </c>
      <c r="D57" s="10" t="s">
        <v>142</v>
      </c>
      <c r="E57" s="10" t="s">
        <v>153</v>
      </c>
      <c r="F57" s="10" t="s">
        <v>154</v>
      </c>
      <c r="G57" s="12" t="n">
        <v>48394</v>
      </c>
      <c r="H57" s="10" t="s">
        <v>17</v>
      </c>
      <c r="I57" s="10" t="n">
        <v>14</v>
      </c>
      <c r="J57" s="10" t="s">
        <v>6</v>
      </c>
      <c r="K57" s="12"/>
      <c r="L57" s="13" t="str">
        <f aca="false">IF(K57="","",K57-Resumo!$B$3)</f>
        <v/>
      </c>
      <c r="M57" s="10" t="s">
        <v>79</v>
      </c>
      <c r="N57" s="10" t="s">
        <v>92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45</v>
      </c>
      <c r="C58" s="10" t="s">
        <v>152</v>
      </c>
      <c r="D58" s="10" t="s">
        <v>142</v>
      </c>
      <c r="E58" s="10" t="s">
        <v>153</v>
      </c>
      <c r="F58" s="10" t="s">
        <v>154</v>
      </c>
      <c r="G58" s="12" t="n">
        <v>48394</v>
      </c>
      <c r="H58" s="10" t="s">
        <v>18</v>
      </c>
      <c r="I58" s="10" t="n">
        <v>8</v>
      </c>
      <c r="J58" s="10" t="s">
        <v>6</v>
      </c>
      <c r="K58" s="12"/>
      <c r="L58" s="13" t="str">
        <f aca="false">IF(K58="","",K58-Resumo!$B$3)</f>
        <v/>
      </c>
      <c r="M58" s="10" t="s">
        <v>79</v>
      </c>
      <c r="N58" s="10" t="s">
        <v>93</v>
      </c>
      <c r="O58" s="14"/>
      <c r="P58" s="14" t="s">
        <v>22</v>
      </c>
      <c r="Q58" s="15"/>
      <c r="R58" s="14"/>
    </row>
    <row r="59" customFormat="false" ht="22.35" hidden="false" customHeight="false" outlineLevel="0" collapsed="false">
      <c r="A59" s="10" t="n">
        <v>58</v>
      </c>
      <c r="B59" s="11" t="s">
        <v>80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47129</v>
      </c>
      <c r="H59" s="10" t="s">
        <v>10</v>
      </c>
      <c r="I59" s="10"/>
      <c r="J59" s="10" t="s">
        <v>56</v>
      </c>
      <c r="K59" s="12" t="n">
        <v>46273</v>
      </c>
      <c r="L59" s="13" t="n">
        <f aca="false">IF(K59="","",K59-Resumo!$B$3)</f>
        <v>-45</v>
      </c>
      <c r="M59" s="10" t="s">
        <v>161</v>
      </c>
      <c r="N59" s="10" t="s">
        <v>52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47129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55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47129</v>
      </c>
      <c r="H61" s="10" t="s">
        <v>15</v>
      </c>
      <c r="I61" s="10" t="n">
        <v>17</v>
      </c>
      <c r="J61" s="10" t="s">
        <v>56</v>
      </c>
      <c r="K61" s="12" t="n">
        <v>46282</v>
      </c>
      <c r="L61" s="13" t="n">
        <f aca="false">IF(K61="","",K61-Resumo!$B$3)</f>
        <v>-36</v>
      </c>
      <c r="M61" s="10" t="s">
        <v>74</v>
      </c>
      <c r="N61" s="10" t="s">
        <v>58</v>
      </c>
      <c r="O61" s="14"/>
      <c r="P61" s="14" t="s">
        <v>22</v>
      </c>
      <c r="Q61" s="15"/>
      <c r="R61" s="14"/>
    </row>
    <row r="62" customFormat="false" ht="22.35" hidden="false" customHeight="false" outlineLevel="0" collapsed="false">
      <c r="A62" s="10" t="n">
        <v>61</v>
      </c>
      <c r="B62" s="11" t="s">
        <v>45</v>
      </c>
      <c r="C62" s="10" t="s">
        <v>157</v>
      </c>
      <c r="D62" s="10" t="s">
        <v>158</v>
      </c>
      <c r="E62" s="10" t="s">
        <v>159</v>
      </c>
      <c r="F62" s="10" t="s">
        <v>160</v>
      </c>
      <c r="G62" s="12" t="n">
        <v>47129</v>
      </c>
      <c r="H62" s="10" t="s">
        <v>16</v>
      </c>
      <c r="I62" s="10" t="n">
        <v>8</v>
      </c>
      <c r="J62" s="10" t="s">
        <v>50</v>
      </c>
      <c r="K62" s="12" t="n">
        <v>46337</v>
      </c>
      <c r="L62" s="13" t="n">
        <f aca="false">IF(K62="","",K62-Resumo!$B$3)</f>
        <v>19</v>
      </c>
      <c r="M62" s="10" t="s">
        <v>162</v>
      </c>
      <c r="N62" s="10" t="s">
        <v>90</v>
      </c>
      <c r="O62" s="14"/>
      <c r="P62" s="14" t="s">
        <v>22</v>
      </c>
      <c r="Q62" s="15"/>
      <c r="R62" s="14"/>
    </row>
    <row r="63" customFormat="false" ht="22.35" hidden="false" customHeight="false" outlineLevel="0" collapsed="false">
      <c r="A63" s="10" t="n">
        <v>62</v>
      </c>
      <c r="B63" s="11" t="s">
        <v>55</v>
      </c>
      <c r="C63" s="10" t="s">
        <v>163</v>
      </c>
      <c r="D63" s="10" t="s">
        <v>95</v>
      </c>
      <c r="E63" s="10" t="s">
        <v>164</v>
      </c>
      <c r="F63" s="10" t="s">
        <v>165</v>
      </c>
      <c r="G63" s="12" t="n">
        <v>46872</v>
      </c>
      <c r="H63" s="10" t="s">
        <v>15</v>
      </c>
      <c r="I63" s="10" t="n">
        <v>15</v>
      </c>
      <c r="J63" s="10" t="s">
        <v>56</v>
      </c>
      <c r="K63" s="12" t="n">
        <v>46281</v>
      </c>
      <c r="L63" s="13" t="n">
        <f aca="false">IF(K63="","",K63-Resumo!$B$3)</f>
        <v>-37</v>
      </c>
      <c r="M63" s="10" t="s">
        <v>57</v>
      </c>
      <c r="N63" s="10" t="s">
        <v>58</v>
      </c>
      <c r="O63" s="14"/>
      <c r="P63" s="14" t="s">
        <v>22</v>
      </c>
      <c r="Q63" s="15"/>
      <c r="R63" s="14"/>
    </row>
    <row r="64" customFormat="false" ht="32.8" hidden="false" customHeight="false" outlineLevel="0" collapsed="false">
      <c r="A64" s="10" t="n">
        <v>63</v>
      </c>
      <c r="B64" s="11" t="s">
        <v>80</v>
      </c>
      <c r="C64" s="10" t="s">
        <v>166</v>
      </c>
      <c r="D64" s="10" t="s">
        <v>167</v>
      </c>
      <c r="E64" s="10" t="s">
        <v>168</v>
      </c>
      <c r="F64" s="10" t="s">
        <v>169</v>
      </c>
      <c r="G64" s="12" t="n">
        <v>47190</v>
      </c>
      <c r="H64" s="10" t="s">
        <v>13</v>
      </c>
      <c r="I64" s="10" t="n">
        <v>9</v>
      </c>
      <c r="J64" s="10" t="s">
        <v>56</v>
      </c>
      <c r="K64" s="12" t="n">
        <v>46275</v>
      </c>
      <c r="L64" s="13" t="n">
        <f aca="false">IF(K64="","",K64-Resumo!$B$3)</f>
        <v>-43</v>
      </c>
      <c r="M64" s="10" t="s">
        <v>170</v>
      </c>
      <c r="N64" s="10" t="s">
        <v>102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45</v>
      </c>
      <c r="C65" s="10" t="s">
        <v>166</v>
      </c>
      <c r="D65" s="10" t="s">
        <v>167</v>
      </c>
      <c r="E65" s="10" t="s">
        <v>168</v>
      </c>
      <c r="F65" s="10" t="s">
        <v>169</v>
      </c>
      <c r="G65" s="12" t="n">
        <v>47190</v>
      </c>
      <c r="H65" s="10" t="s">
        <v>14</v>
      </c>
      <c r="I65" s="10" t="n">
        <v>5</v>
      </c>
      <c r="J65" s="10" t="s">
        <v>6</v>
      </c>
      <c r="K65" s="12"/>
      <c r="L65" s="13" t="str">
        <f aca="false">IF(K65="","",K65-Resumo!$B$3)</f>
        <v/>
      </c>
      <c r="M65" s="10" t="s">
        <v>79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45</v>
      </c>
      <c r="C66" s="10" t="s">
        <v>166</v>
      </c>
      <c r="D66" s="10" t="s">
        <v>167</v>
      </c>
      <c r="E66" s="10" t="s">
        <v>168</v>
      </c>
      <c r="F66" s="10" t="s">
        <v>169</v>
      </c>
      <c r="G66" s="12" t="n">
        <v>47190</v>
      </c>
      <c r="H66" s="10" t="s">
        <v>15</v>
      </c>
      <c r="I66" s="10" t="n">
        <v>17</v>
      </c>
      <c r="J66" s="10" t="s">
        <v>6</v>
      </c>
      <c r="K66" s="12"/>
      <c r="L66" s="13" t="str">
        <f aca="false">IF(K66="","",K66-Resumo!$B$3)</f>
        <v/>
      </c>
      <c r="M66" s="10" t="s">
        <v>79</v>
      </c>
      <c r="N66" s="10" t="s">
        <v>58</v>
      </c>
      <c r="O66" s="14"/>
      <c r="P66" s="14" t="s">
        <v>22</v>
      </c>
      <c r="Q66" s="15"/>
      <c r="R66" s="14"/>
    </row>
    <row r="67" customFormat="false" ht="22.35" hidden="false" customHeight="false" outlineLevel="0" collapsed="false">
      <c r="A67" s="10" t="n">
        <v>66</v>
      </c>
      <c r="B67" s="11" t="s">
        <v>55</v>
      </c>
      <c r="C67" s="10" t="s">
        <v>171</v>
      </c>
      <c r="D67" s="10" t="s">
        <v>167</v>
      </c>
      <c r="E67" s="10" t="s">
        <v>172</v>
      </c>
      <c r="F67" s="10" t="s">
        <v>173</v>
      </c>
      <c r="G67" s="12" t="n">
        <v>46374</v>
      </c>
      <c r="H67" s="10" t="s">
        <v>9</v>
      </c>
      <c r="I67" s="10" t="n">
        <v>20</v>
      </c>
      <c r="J67" s="10" t="s">
        <v>56</v>
      </c>
      <c r="K67" s="12" t="n">
        <v>46254</v>
      </c>
      <c r="L67" s="13" t="n">
        <f aca="false">IF(K67="","",K67-Resumo!$B$3)</f>
        <v>-64</v>
      </c>
      <c r="M67" s="10" t="s">
        <v>108</v>
      </c>
      <c r="N67" s="10" t="s">
        <v>99</v>
      </c>
      <c r="O67" s="14"/>
      <c r="P67" s="14" t="s">
        <v>22</v>
      </c>
      <c r="Q67" s="15"/>
      <c r="R67" s="14"/>
    </row>
    <row r="68" customFormat="false" ht="32.8" hidden="false" customHeight="false" outlineLevel="0" collapsed="false">
      <c r="A68" s="10" t="n">
        <v>67</v>
      </c>
      <c r="B68" s="11" t="s">
        <v>45</v>
      </c>
      <c r="C68" s="10" t="s">
        <v>171</v>
      </c>
      <c r="D68" s="10" t="s">
        <v>167</v>
      </c>
      <c r="E68" s="10" t="s">
        <v>172</v>
      </c>
      <c r="F68" s="10" t="s">
        <v>173</v>
      </c>
      <c r="G68" s="12" t="n">
        <v>46374</v>
      </c>
      <c r="H68" s="10" t="s">
        <v>14</v>
      </c>
      <c r="I68" s="10" t="n">
        <v>5</v>
      </c>
      <c r="J68" s="10" t="s">
        <v>6</v>
      </c>
      <c r="K68" s="12"/>
      <c r="L68" s="13" t="str">
        <f aca="false">IF(K68="","",K68-Resumo!$B$3)</f>
        <v/>
      </c>
      <c r="M68" s="10" t="s">
        <v>79</v>
      </c>
      <c r="N68" s="10" t="s">
        <v>54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55</v>
      </c>
      <c r="C69" s="10" t="s">
        <v>171</v>
      </c>
      <c r="D69" s="10" t="s">
        <v>167</v>
      </c>
      <c r="E69" s="10" t="s">
        <v>172</v>
      </c>
      <c r="F69" s="10" t="s">
        <v>173</v>
      </c>
      <c r="G69" s="12" t="n">
        <v>46374</v>
      </c>
      <c r="H69" s="10" t="s">
        <v>15</v>
      </c>
      <c r="I69" s="10" t="n">
        <v>15</v>
      </c>
      <c r="J69" s="10" t="s">
        <v>56</v>
      </c>
      <c r="K69" s="12" t="n">
        <v>46282</v>
      </c>
      <c r="L69" s="13" t="n">
        <f aca="false">IF(K69="","",K69-Resumo!$B$3)</f>
        <v>-36</v>
      </c>
      <c r="M69" s="10" t="s">
        <v>74</v>
      </c>
      <c r="N69" s="10" t="s">
        <v>58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45</v>
      </c>
      <c r="C70" s="10" t="s">
        <v>174</v>
      </c>
      <c r="D70" s="10" t="s">
        <v>175</v>
      </c>
      <c r="E70" s="10" t="s">
        <v>176</v>
      </c>
      <c r="F70" s="10" t="s">
        <v>177</v>
      </c>
      <c r="G70" s="12" t="n">
        <v>47547</v>
      </c>
      <c r="H70" s="10" t="s">
        <v>14</v>
      </c>
      <c r="I70" s="10" t="n">
        <v>5</v>
      </c>
      <c r="J70" s="10" t="s">
        <v>6</v>
      </c>
      <c r="K70" s="12"/>
      <c r="L70" s="13" t="str">
        <f aca="false">IF(K70="","",K70-Resumo!$B$3)</f>
        <v/>
      </c>
      <c r="M70" s="10" t="s">
        <v>79</v>
      </c>
      <c r="N70" s="10" t="s">
        <v>54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174</v>
      </c>
      <c r="D71" s="10" t="s">
        <v>175</v>
      </c>
      <c r="E71" s="10" t="s">
        <v>176</v>
      </c>
      <c r="F71" s="10" t="s">
        <v>177</v>
      </c>
      <c r="G71" s="12" t="n">
        <v>47547</v>
      </c>
      <c r="H71" s="10" t="s">
        <v>15</v>
      </c>
      <c r="I71" s="10" t="n">
        <v>16</v>
      </c>
      <c r="J71" s="10" t="s">
        <v>56</v>
      </c>
      <c r="K71" s="12" t="n">
        <v>46281</v>
      </c>
      <c r="L71" s="13" t="n">
        <f aca="false">IF(K71="","",K71-Resumo!$B$3)</f>
        <v>-37</v>
      </c>
      <c r="M71" s="10" t="s">
        <v>57</v>
      </c>
      <c r="N71" s="10" t="s">
        <v>58</v>
      </c>
      <c r="O71" s="14"/>
      <c r="P71" s="14" t="s">
        <v>22</v>
      </c>
      <c r="Q71" s="15"/>
      <c r="R71" s="14"/>
    </row>
    <row r="72" customFormat="false" ht="22.35" hidden="false" customHeight="false" outlineLevel="0" collapsed="false">
      <c r="A72" s="10" t="n">
        <v>71</v>
      </c>
      <c r="B72" s="11" t="s">
        <v>55</v>
      </c>
      <c r="C72" s="10" t="s">
        <v>178</v>
      </c>
      <c r="D72" s="10" t="s">
        <v>179</v>
      </c>
      <c r="E72" s="10" t="s">
        <v>180</v>
      </c>
      <c r="F72" s="10" t="s">
        <v>181</v>
      </c>
      <c r="G72" s="12" t="n">
        <v>46911</v>
      </c>
      <c r="H72" s="10" t="s">
        <v>15</v>
      </c>
      <c r="I72" s="10"/>
      <c r="J72" s="10" t="s">
        <v>56</v>
      </c>
      <c r="K72" s="12" t="n">
        <v>46282</v>
      </c>
      <c r="L72" s="13" t="n">
        <f aca="false">IF(K72="","",K72-Resumo!$B$3)</f>
        <v>-36</v>
      </c>
      <c r="M72" s="10" t="s">
        <v>74</v>
      </c>
      <c r="N72" s="10" t="s">
        <v>58</v>
      </c>
      <c r="O72" s="14"/>
      <c r="P72" s="14" t="s">
        <v>22</v>
      </c>
      <c r="Q72" s="15"/>
      <c r="R72" s="14"/>
    </row>
    <row r="73" customFormat="false" ht="32.8" hidden="false" customHeight="false" outlineLevel="0" collapsed="false">
      <c r="A73" s="10" t="n">
        <v>72</v>
      </c>
      <c r="B73" s="11" t="s">
        <v>45</v>
      </c>
      <c r="C73" s="10" t="s">
        <v>182</v>
      </c>
      <c r="D73" s="10" t="s">
        <v>183</v>
      </c>
      <c r="E73" s="10" t="s">
        <v>184</v>
      </c>
      <c r="F73" s="10" t="s">
        <v>185</v>
      </c>
      <c r="G73" s="12" t="n">
        <v>46875</v>
      </c>
      <c r="H73" s="10" t="s">
        <v>14</v>
      </c>
      <c r="I73" s="10"/>
      <c r="J73" s="10" t="s">
        <v>6</v>
      </c>
      <c r="K73" s="12"/>
      <c r="L73" s="13" t="str">
        <f aca="false">IF(K73="","",K73-Resumo!$B$3)</f>
        <v/>
      </c>
      <c r="M73" s="10" t="s">
        <v>79</v>
      </c>
      <c r="N73" s="10" t="s">
        <v>54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55</v>
      </c>
      <c r="C74" s="10" t="s">
        <v>182</v>
      </c>
      <c r="D74" s="10" t="s">
        <v>183</v>
      </c>
      <c r="E74" s="10" t="s">
        <v>184</v>
      </c>
      <c r="F74" s="10" t="s">
        <v>185</v>
      </c>
      <c r="G74" s="12" t="n">
        <v>46875</v>
      </c>
      <c r="H74" s="10" t="s">
        <v>15</v>
      </c>
      <c r="I74" s="10"/>
      <c r="J74" s="10" t="s">
        <v>56</v>
      </c>
      <c r="K74" s="12" t="n">
        <v>46282</v>
      </c>
      <c r="L74" s="13" t="n">
        <f aca="false">IF(K74="","",K74-Resumo!$B$3)</f>
        <v>-36</v>
      </c>
      <c r="M74" s="10" t="s">
        <v>74</v>
      </c>
      <c r="N74" s="10" t="s">
        <v>58</v>
      </c>
      <c r="O74" s="14"/>
      <c r="P74" s="14" t="s">
        <v>22</v>
      </c>
      <c r="Q74" s="15"/>
      <c r="R74" s="14"/>
    </row>
    <row r="75" customFormat="false" ht="32.8" hidden="false" customHeight="false" outlineLevel="0" collapsed="false">
      <c r="A75" s="10" t="n">
        <v>74</v>
      </c>
      <c r="B75" s="11" t="s">
        <v>55</v>
      </c>
      <c r="C75" s="10" t="s">
        <v>186</v>
      </c>
      <c r="D75" s="10" t="s">
        <v>187</v>
      </c>
      <c r="E75" s="10" t="s">
        <v>188</v>
      </c>
      <c r="F75" s="10" t="s">
        <v>189</v>
      </c>
      <c r="G75" s="12" t="n">
        <v>47952</v>
      </c>
      <c r="H75" s="10" t="s">
        <v>14</v>
      </c>
      <c r="I75" s="10" t="n">
        <v>5</v>
      </c>
      <c r="J75" s="10" t="s">
        <v>56</v>
      </c>
      <c r="K75" s="12" t="n">
        <v>45898</v>
      </c>
      <c r="L75" s="13" t="n">
        <f aca="false">IF(K75="","",K75-Resumo!$B$3)</f>
        <v>-420</v>
      </c>
      <c r="M75" s="10" t="s">
        <v>190</v>
      </c>
      <c r="N75" s="10" t="s">
        <v>54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55</v>
      </c>
      <c r="C76" s="10" t="s">
        <v>186</v>
      </c>
      <c r="D76" s="10" t="s">
        <v>187</v>
      </c>
      <c r="E76" s="10" t="s">
        <v>188</v>
      </c>
      <c r="F76" s="10" t="s">
        <v>189</v>
      </c>
      <c r="G76" s="12" t="n">
        <v>47952</v>
      </c>
      <c r="H76" s="10" t="s">
        <v>15</v>
      </c>
      <c r="I76" s="10" t="n">
        <v>17</v>
      </c>
      <c r="J76" s="10" t="s">
        <v>56</v>
      </c>
      <c r="K76" s="12" t="n">
        <v>46281</v>
      </c>
      <c r="L76" s="13" t="n">
        <f aca="false">IF(K76="","",K76-Resumo!$B$3)</f>
        <v>-37</v>
      </c>
      <c r="M76" s="10" t="s">
        <v>57</v>
      </c>
      <c r="N76" s="10" t="s">
        <v>58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55</v>
      </c>
      <c r="C77" s="10" t="s">
        <v>191</v>
      </c>
      <c r="D77" s="10" t="s">
        <v>192</v>
      </c>
      <c r="E77" s="10" t="s">
        <v>193</v>
      </c>
      <c r="F77" s="10" t="s">
        <v>194</v>
      </c>
      <c r="G77" s="12" t="n">
        <v>46426</v>
      </c>
      <c r="H77" s="10" t="s">
        <v>9</v>
      </c>
      <c r="I77" s="10" t="n">
        <v>20</v>
      </c>
      <c r="J77" s="10" t="s">
        <v>56</v>
      </c>
      <c r="K77" s="12" t="n">
        <v>46306</v>
      </c>
      <c r="L77" s="13" t="n">
        <f aca="false">IF(K77="","",K77-Resumo!$B$3)</f>
        <v>-12</v>
      </c>
      <c r="M77" s="10" t="s">
        <v>195</v>
      </c>
      <c r="N77" s="10" t="s">
        <v>99</v>
      </c>
      <c r="O77" s="14"/>
      <c r="P77" s="14" t="s">
        <v>22</v>
      </c>
      <c r="Q77" s="15"/>
      <c r="R77" s="14"/>
    </row>
    <row r="78" customFormat="false" ht="32.8" hidden="false" customHeight="false" outlineLevel="0" collapsed="false">
      <c r="A78" s="10" t="n">
        <v>77</v>
      </c>
      <c r="B78" s="11" t="s">
        <v>55</v>
      </c>
      <c r="C78" s="10" t="s">
        <v>191</v>
      </c>
      <c r="D78" s="10" t="s">
        <v>192</v>
      </c>
      <c r="E78" s="10" t="s">
        <v>193</v>
      </c>
      <c r="F78" s="10" t="s">
        <v>194</v>
      </c>
      <c r="G78" s="12" t="n">
        <v>46426</v>
      </c>
      <c r="H78" s="10" t="s">
        <v>14</v>
      </c>
      <c r="I78" s="10" t="n">
        <v>5</v>
      </c>
      <c r="J78" s="10" t="s">
        <v>56</v>
      </c>
      <c r="K78" s="12" t="n">
        <v>46134</v>
      </c>
      <c r="L78" s="13" t="n">
        <f aca="false">IF(K78="","",K78-Resumo!$B$3)</f>
        <v>-184</v>
      </c>
      <c r="M78" s="10" t="s">
        <v>196</v>
      </c>
      <c r="N78" s="10" t="s">
        <v>54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55</v>
      </c>
      <c r="C79" s="10" t="s">
        <v>191</v>
      </c>
      <c r="D79" s="10" t="s">
        <v>192</v>
      </c>
      <c r="E79" s="10" t="s">
        <v>193</v>
      </c>
      <c r="F79" s="10" t="s">
        <v>194</v>
      </c>
      <c r="G79" s="12" t="n">
        <v>46426</v>
      </c>
      <c r="H79" s="10" t="s">
        <v>15</v>
      </c>
      <c r="I79" s="10" t="n">
        <v>15</v>
      </c>
      <c r="J79" s="10" t="s">
        <v>56</v>
      </c>
      <c r="K79" s="12" t="n">
        <v>46281</v>
      </c>
      <c r="L79" s="13" t="n">
        <f aca="false">IF(K79="","",K79-Resumo!$B$3)</f>
        <v>-37</v>
      </c>
      <c r="M79" s="10" t="s">
        <v>57</v>
      </c>
      <c r="N79" s="10" t="s">
        <v>58</v>
      </c>
      <c r="O79" s="14"/>
      <c r="P79" s="14" t="s">
        <v>22</v>
      </c>
      <c r="Q79" s="15"/>
      <c r="R79" s="14"/>
    </row>
    <row r="80" customFormat="false" ht="32.8" hidden="false" customHeight="false" outlineLevel="0" collapsed="false">
      <c r="A80" s="10" t="n">
        <v>79</v>
      </c>
      <c r="B80" s="11" t="s">
        <v>55</v>
      </c>
      <c r="C80" s="10" t="s">
        <v>197</v>
      </c>
      <c r="D80" s="10" t="s">
        <v>198</v>
      </c>
      <c r="E80" s="10" t="s">
        <v>199</v>
      </c>
      <c r="F80" s="10" t="s">
        <v>200</v>
      </c>
      <c r="G80" s="12" t="n">
        <v>46990</v>
      </c>
      <c r="H80" s="10" t="s">
        <v>14</v>
      </c>
      <c r="I80" s="10" t="n">
        <v>5</v>
      </c>
      <c r="J80" s="10" t="s">
        <v>56</v>
      </c>
      <c r="K80" s="12" t="n">
        <v>46163</v>
      </c>
      <c r="L80" s="13" t="n">
        <f aca="false">IF(K80="","",K80-Resumo!$B$3)</f>
        <v>-155</v>
      </c>
      <c r="M80" s="10" t="s">
        <v>201</v>
      </c>
      <c r="N80" s="10" t="s">
        <v>54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55</v>
      </c>
      <c r="C81" s="10" t="s">
        <v>197</v>
      </c>
      <c r="D81" s="10" t="s">
        <v>198</v>
      </c>
      <c r="E81" s="10" t="s">
        <v>199</v>
      </c>
      <c r="F81" s="10" t="s">
        <v>200</v>
      </c>
      <c r="G81" s="12" t="n">
        <v>46990</v>
      </c>
      <c r="H81" s="10" t="s">
        <v>15</v>
      </c>
      <c r="I81" s="10" t="n">
        <v>16</v>
      </c>
      <c r="J81" s="10" t="s">
        <v>56</v>
      </c>
      <c r="K81" s="12" t="n">
        <v>46281</v>
      </c>
      <c r="L81" s="13" t="n">
        <f aca="false">IF(K81="","",K81-Resumo!$B$3)</f>
        <v>-37</v>
      </c>
      <c r="M81" s="10" t="s">
        <v>57</v>
      </c>
      <c r="N81" s="10" t="s">
        <v>58</v>
      </c>
      <c r="O81" s="14"/>
      <c r="P81" s="14" t="s">
        <v>22</v>
      </c>
      <c r="Q81" s="15"/>
      <c r="R81" s="14"/>
    </row>
    <row r="82" customFormat="false" ht="22.35" hidden="false" customHeight="false" outlineLevel="0" collapsed="false">
      <c r="A82" s="10" t="n">
        <v>81</v>
      </c>
      <c r="B82" s="11" t="s">
        <v>80</v>
      </c>
      <c r="C82" s="10" t="s">
        <v>202</v>
      </c>
      <c r="D82" s="10" t="s">
        <v>95</v>
      </c>
      <c r="E82" s="10" t="s">
        <v>203</v>
      </c>
      <c r="F82" s="10" t="s">
        <v>204</v>
      </c>
      <c r="G82" s="12" t="n">
        <v>47087</v>
      </c>
      <c r="H82" s="10" t="s">
        <v>10</v>
      </c>
      <c r="I82" s="10"/>
      <c r="J82" s="10" t="s">
        <v>56</v>
      </c>
      <c r="K82" s="12" t="n">
        <v>46274</v>
      </c>
      <c r="L82" s="13" t="n">
        <f aca="false">IF(K82="","",K82-Resumo!$B$3)</f>
        <v>-44</v>
      </c>
      <c r="M82" s="10" t="s">
        <v>205</v>
      </c>
      <c r="N82" s="10" t="s">
        <v>52</v>
      </c>
      <c r="O82" s="14"/>
      <c r="P82" s="14" t="s">
        <v>22</v>
      </c>
      <c r="Q82" s="15"/>
      <c r="R82" s="14"/>
    </row>
    <row r="83" customFormat="false" ht="32.8" hidden="false" customHeight="false" outlineLevel="0" collapsed="false">
      <c r="A83" s="10" t="n">
        <v>82</v>
      </c>
      <c r="B83" s="11" t="s">
        <v>55</v>
      </c>
      <c r="C83" s="10" t="s">
        <v>202</v>
      </c>
      <c r="D83" s="10" t="s">
        <v>95</v>
      </c>
      <c r="E83" s="10" t="s">
        <v>203</v>
      </c>
      <c r="F83" s="10" t="s">
        <v>204</v>
      </c>
      <c r="G83" s="12" t="n">
        <v>47087</v>
      </c>
      <c r="H83" s="10" t="s">
        <v>14</v>
      </c>
      <c r="I83" s="10" t="n">
        <v>5</v>
      </c>
      <c r="J83" s="10" t="s">
        <v>56</v>
      </c>
      <c r="K83" s="12" t="n">
        <v>45997</v>
      </c>
      <c r="L83" s="13" t="n">
        <f aca="false">IF(K83="","",K83-Resumo!$B$3)</f>
        <v>-321</v>
      </c>
      <c r="M83" s="10" t="s">
        <v>206</v>
      </c>
      <c r="N83" s="10" t="s">
        <v>54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55</v>
      </c>
      <c r="C84" s="10" t="s">
        <v>202</v>
      </c>
      <c r="D84" s="10" t="s">
        <v>95</v>
      </c>
      <c r="E84" s="10" t="s">
        <v>203</v>
      </c>
      <c r="F84" s="10" t="s">
        <v>204</v>
      </c>
      <c r="G84" s="12" t="n">
        <v>47087</v>
      </c>
      <c r="H84" s="10" t="s">
        <v>15</v>
      </c>
      <c r="I84" s="10" t="n">
        <v>16</v>
      </c>
      <c r="J84" s="10" t="s">
        <v>56</v>
      </c>
      <c r="K84" s="12" t="n">
        <v>46281</v>
      </c>
      <c r="L84" s="13" t="n">
        <f aca="false">IF(K84="","",K84-Resumo!$B$3)</f>
        <v>-37</v>
      </c>
      <c r="M84" s="10" t="s">
        <v>57</v>
      </c>
      <c r="N84" s="10" t="s">
        <v>58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80</v>
      </c>
      <c r="C85" s="10" t="s">
        <v>207</v>
      </c>
      <c r="D85" s="10" t="s">
        <v>95</v>
      </c>
      <c r="E85" s="10" t="s">
        <v>208</v>
      </c>
      <c r="F85" s="10" t="s">
        <v>209</v>
      </c>
      <c r="G85" s="12" t="n">
        <v>47854</v>
      </c>
      <c r="H85" s="10" t="s">
        <v>10</v>
      </c>
      <c r="I85" s="10"/>
      <c r="J85" s="10" t="s">
        <v>56</v>
      </c>
      <c r="K85" s="12" t="n">
        <v>46316</v>
      </c>
      <c r="L85" s="13" t="n">
        <f aca="false">IF(K85="","",K85-Resumo!$B$3)</f>
        <v>-2</v>
      </c>
      <c r="M85" s="10" t="s">
        <v>210</v>
      </c>
      <c r="N85" s="10" t="s">
        <v>52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55</v>
      </c>
      <c r="C86" s="10" t="s">
        <v>207</v>
      </c>
      <c r="D86" s="10" t="s">
        <v>95</v>
      </c>
      <c r="E86" s="10" t="s">
        <v>208</v>
      </c>
      <c r="F86" s="10" t="s">
        <v>209</v>
      </c>
      <c r="G86" s="12" t="n">
        <v>47854</v>
      </c>
      <c r="H86" s="10" t="s">
        <v>15</v>
      </c>
      <c r="I86" s="10" t="n">
        <v>18</v>
      </c>
      <c r="J86" s="10" t="s">
        <v>56</v>
      </c>
      <c r="K86" s="12" t="n">
        <v>46281</v>
      </c>
      <c r="L86" s="13" t="n">
        <f aca="false">IF(K86="","",K86-Resumo!$B$3)</f>
        <v>-37</v>
      </c>
      <c r="M86" s="10" t="s">
        <v>57</v>
      </c>
      <c r="N86" s="10" t="s">
        <v>58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55</v>
      </c>
      <c r="C87" s="10" t="s">
        <v>211</v>
      </c>
      <c r="D87" s="10" t="s">
        <v>212</v>
      </c>
      <c r="E87" s="10" t="s">
        <v>213</v>
      </c>
      <c r="F87" s="10" t="s">
        <v>214</v>
      </c>
      <c r="G87" s="12" t="n">
        <v>46031</v>
      </c>
      <c r="H87" s="10" t="s">
        <v>9</v>
      </c>
      <c r="I87" s="10" t="n">
        <v>19</v>
      </c>
      <c r="J87" s="10" t="s">
        <v>56</v>
      </c>
      <c r="K87" s="12" t="n">
        <v>45911</v>
      </c>
      <c r="L87" s="13" t="n">
        <f aca="false">IF(K87="","",K87-Resumo!$B$3)</f>
        <v>-407</v>
      </c>
      <c r="M87" s="10" t="s">
        <v>215</v>
      </c>
      <c r="N87" s="10" t="s">
        <v>99</v>
      </c>
      <c r="O87" s="14"/>
      <c r="P87" s="14" t="s">
        <v>22</v>
      </c>
      <c r="Q87" s="15"/>
      <c r="R87" s="14"/>
    </row>
    <row r="88" customFormat="false" ht="32.8" hidden="false" customHeight="false" outlineLevel="0" collapsed="false">
      <c r="A88" s="10" t="n">
        <v>87</v>
      </c>
      <c r="B88" s="11" t="s">
        <v>80</v>
      </c>
      <c r="C88" s="10" t="s">
        <v>211</v>
      </c>
      <c r="D88" s="10" t="s">
        <v>212</v>
      </c>
      <c r="E88" s="10" t="s">
        <v>213</v>
      </c>
      <c r="F88" s="10" t="s">
        <v>214</v>
      </c>
      <c r="G88" s="12" t="n">
        <v>46031</v>
      </c>
      <c r="H88" s="10" t="s">
        <v>10</v>
      </c>
      <c r="I88" s="10"/>
      <c r="J88" s="10" t="s">
        <v>56</v>
      </c>
      <c r="K88" s="12" t="n">
        <v>45659</v>
      </c>
      <c r="L88" s="13" t="n">
        <f aca="false">IF(K88="","",K88-Resumo!$B$3)</f>
        <v>-659</v>
      </c>
      <c r="M88" s="10" t="s">
        <v>216</v>
      </c>
      <c r="N88" s="10" t="s">
        <v>52</v>
      </c>
      <c r="O88" s="14"/>
      <c r="P88" s="14" t="s">
        <v>22</v>
      </c>
      <c r="Q88" s="15"/>
      <c r="R88" s="14"/>
    </row>
    <row r="89" customFormat="false" ht="22.35" hidden="false" customHeight="false" outlineLevel="0" collapsed="false">
      <c r="A89" s="10" t="n">
        <v>88</v>
      </c>
      <c r="B89" s="11" t="s">
        <v>80</v>
      </c>
      <c r="C89" s="10" t="s">
        <v>211</v>
      </c>
      <c r="D89" s="10" t="s">
        <v>212</v>
      </c>
      <c r="E89" s="10" t="s">
        <v>213</v>
      </c>
      <c r="F89" s="10" t="s">
        <v>214</v>
      </c>
      <c r="G89" s="12" t="n">
        <v>46031</v>
      </c>
      <c r="H89" s="10" t="s">
        <v>13</v>
      </c>
      <c r="I89" s="10" t="n">
        <v>14</v>
      </c>
      <c r="J89" s="10" t="s">
        <v>56</v>
      </c>
      <c r="K89" s="12" t="n">
        <v>46083</v>
      </c>
      <c r="L89" s="13" t="n">
        <f aca="false">IF(K89="","",K89-Resumo!$B$3)</f>
        <v>-235</v>
      </c>
      <c r="M89" s="10" t="s">
        <v>217</v>
      </c>
      <c r="N89" s="10" t="s">
        <v>102</v>
      </c>
      <c r="O89" s="14"/>
      <c r="P89" s="14" t="s">
        <v>22</v>
      </c>
      <c r="Q89" s="15"/>
      <c r="R89" s="14"/>
    </row>
    <row r="90" customFormat="false" ht="32.8" hidden="false" customHeight="false" outlineLevel="0" collapsed="false">
      <c r="A90" s="10" t="n">
        <v>89</v>
      </c>
      <c r="B90" s="11" t="s">
        <v>55</v>
      </c>
      <c r="C90" s="10" t="s">
        <v>211</v>
      </c>
      <c r="D90" s="10" t="s">
        <v>212</v>
      </c>
      <c r="E90" s="10" t="s">
        <v>213</v>
      </c>
      <c r="F90" s="10" t="s">
        <v>214</v>
      </c>
      <c r="G90" s="12" t="n">
        <v>46031</v>
      </c>
      <c r="H90" s="10" t="s">
        <v>14</v>
      </c>
      <c r="I90" s="10" t="n">
        <v>5</v>
      </c>
      <c r="J90" s="10" t="s">
        <v>56</v>
      </c>
      <c r="K90" s="12" t="n">
        <v>45514</v>
      </c>
      <c r="L90" s="13" t="n">
        <f aca="false">IF(K90="","",K90-Resumo!$B$3)</f>
        <v>-804</v>
      </c>
      <c r="M90" s="10" t="s">
        <v>218</v>
      </c>
      <c r="N90" s="10" t="s">
        <v>54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55</v>
      </c>
      <c r="C91" s="10" t="s">
        <v>211</v>
      </c>
      <c r="D91" s="10" t="s">
        <v>212</v>
      </c>
      <c r="E91" s="10" t="s">
        <v>213</v>
      </c>
      <c r="F91" s="10" t="s">
        <v>214</v>
      </c>
      <c r="G91" s="12" t="n">
        <v>46031</v>
      </c>
      <c r="H91" s="10" t="s">
        <v>15</v>
      </c>
      <c r="I91" s="10" t="n">
        <v>15</v>
      </c>
      <c r="J91" s="10" t="s">
        <v>56</v>
      </c>
      <c r="K91" s="12" t="n">
        <v>45356</v>
      </c>
      <c r="L91" s="13" t="n">
        <f aca="false">IF(K91="","",K91-Resumo!$B$3)</f>
        <v>-962</v>
      </c>
      <c r="M91" s="10" t="s">
        <v>219</v>
      </c>
      <c r="N91" s="10" t="s">
        <v>58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45</v>
      </c>
      <c r="C92" s="10" t="s">
        <v>220</v>
      </c>
      <c r="D92" s="10" t="s">
        <v>221</v>
      </c>
      <c r="E92" s="10" t="s">
        <v>222</v>
      </c>
      <c r="F92" s="10" t="s">
        <v>223</v>
      </c>
      <c r="G92" s="12" t="n">
        <v>46729</v>
      </c>
      <c r="H92" s="10" t="s">
        <v>15</v>
      </c>
      <c r="I92" s="10" t="n">
        <v>15</v>
      </c>
      <c r="J92" s="10" t="s">
        <v>6</v>
      </c>
      <c r="K92" s="12"/>
      <c r="L92" s="13" t="str">
        <f aca="false">IF(K92="","",K92-Resumo!$B$3)</f>
        <v/>
      </c>
      <c r="M92" s="10" t="s">
        <v>79</v>
      </c>
      <c r="N92" s="10" t="s">
        <v>58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80</v>
      </c>
      <c r="C93" s="10" t="s">
        <v>224</v>
      </c>
      <c r="D93" s="10" t="s">
        <v>65</v>
      </c>
      <c r="E93" s="10" t="s">
        <v>225</v>
      </c>
      <c r="F93" s="10" t="s">
        <v>226</v>
      </c>
      <c r="G93" s="12" t="n">
        <v>48171</v>
      </c>
      <c r="H93" s="10" t="s">
        <v>10</v>
      </c>
      <c r="I93" s="10"/>
      <c r="J93" s="10" t="s">
        <v>56</v>
      </c>
      <c r="K93" s="12" t="n">
        <v>46272</v>
      </c>
      <c r="L93" s="13" t="n">
        <f aca="false">IF(K93="","",K93-Resumo!$B$3)</f>
        <v>-46</v>
      </c>
      <c r="M93" s="10" t="s">
        <v>227</v>
      </c>
      <c r="N93" s="10" t="s">
        <v>52</v>
      </c>
      <c r="O93" s="14"/>
      <c r="P93" s="14" t="s">
        <v>22</v>
      </c>
      <c r="Q93" s="15"/>
      <c r="R93" s="14"/>
    </row>
    <row r="94" customFormat="false" ht="32.8" hidden="false" customHeight="false" outlineLevel="0" collapsed="false">
      <c r="A94" s="10" t="n">
        <v>93</v>
      </c>
      <c r="B94" s="11" t="s">
        <v>55</v>
      </c>
      <c r="C94" s="10" t="s">
        <v>224</v>
      </c>
      <c r="D94" s="10" t="s">
        <v>65</v>
      </c>
      <c r="E94" s="10" t="s">
        <v>225</v>
      </c>
      <c r="F94" s="10" t="s">
        <v>226</v>
      </c>
      <c r="G94" s="12" t="n">
        <v>48171</v>
      </c>
      <c r="H94" s="10" t="s">
        <v>14</v>
      </c>
      <c r="I94" s="10" t="n">
        <v>5</v>
      </c>
      <c r="J94" s="10" t="s">
        <v>56</v>
      </c>
      <c r="K94" s="12" t="n">
        <v>46309</v>
      </c>
      <c r="L94" s="13" t="n">
        <f aca="false">IF(K94="","",K94-Resumo!$B$3)</f>
        <v>-9</v>
      </c>
      <c r="M94" s="10" t="s">
        <v>228</v>
      </c>
      <c r="N94" s="10" t="s">
        <v>54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55</v>
      </c>
      <c r="C95" s="10" t="s">
        <v>224</v>
      </c>
      <c r="D95" s="10" t="s">
        <v>65</v>
      </c>
      <c r="E95" s="10" t="s">
        <v>225</v>
      </c>
      <c r="F95" s="10" t="s">
        <v>226</v>
      </c>
      <c r="G95" s="12" t="n">
        <v>48171</v>
      </c>
      <c r="H95" s="10" t="s">
        <v>15</v>
      </c>
      <c r="I95" s="10" t="n">
        <v>15</v>
      </c>
      <c r="J95" s="10" t="s">
        <v>56</v>
      </c>
      <c r="K95" s="12" t="n">
        <v>46281</v>
      </c>
      <c r="L95" s="13" t="n">
        <f aca="false">IF(K95="","",K95-Resumo!$B$3)</f>
        <v>-37</v>
      </c>
      <c r="M95" s="10" t="s">
        <v>57</v>
      </c>
      <c r="N95" s="10" t="s">
        <v>58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55</v>
      </c>
      <c r="C96" s="10" t="s">
        <v>229</v>
      </c>
      <c r="D96" s="10" t="s">
        <v>230</v>
      </c>
      <c r="E96" s="10" t="s">
        <v>231</v>
      </c>
      <c r="F96" s="10" t="s">
        <v>232</v>
      </c>
      <c r="G96" s="12" t="n">
        <v>46288</v>
      </c>
      <c r="H96" s="10" t="s">
        <v>9</v>
      </c>
      <c r="I96" s="10" t="n">
        <v>18</v>
      </c>
      <c r="J96" s="10" t="s">
        <v>56</v>
      </c>
      <c r="K96" s="12" t="n">
        <v>46168</v>
      </c>
      <c r="L96" s="13" t="n">
        <f aca="false">IF(K96="","",K96-Resumo!$B$3)</f>
        <v>-150</v>
      </c>
      <c r="M96" s="10" t="s">
        <v>233</v>
      </c>
      <c r="N96" s="10" t="s">
        <v>99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80</v>
      </c>
      <c r="C97" s="10" t="s">
        <v>229</v>
      </c>
      <c r="D97" s="10" t="s">
        <v>230</v>
      </c>
      <c r="E97" s="10" t="s">
        <v>231</v>
      </c>
      <c r="F97" s="10" t="s">
        <v>234</v>
      </c>
      <c r="G97" s="12" t="n">
        <v>48005</v>
      </c>
      <c r="H97" s="10" t="s">
        <v>11</v>
      </c>
      <c r="I97" s="10" t="n">
        <v>12</v>
      </c>
      <c r="J97" s="10" t="s">
        <v>56</v>
      </c>
      <c r="K97" s="12" t="n">
        <v>46163</v>
      </c>
      <c r="L97" s="13" t="n">
        <f aca="false">IF(K97="","",K97-Resumo!$B$3)</f>
        <v>-155</v>
      </c>
      <c r="M97" s="10" t="s">
        <v>85</v>
      </c>
      <c r="N97" s="10" t="s">
        <v>86</v>
      </c>
      <c r="O97" s="14"/>
      <c r="P97" s="14" t="s">
        <v>22</v>
      </c>
      <c r="Q97" s="15"/>
      <c r="R97" s="14"/>
    </row>
    <row r="98" customFormat="false" ht="32.8" hidden="false" customHeight="false" outlineLevel="0" collapsed="false">
      <c r="A98" s="10" t="n">
        <v>97</v>
      </c>
      <c r="B98" s="11" t="s">
        <v>45</v>
      </c>
      <c r="C98" s="10" t="s">
        <v>229</v>
      </c>
      <c r="D98" s="10" t="s">
        <v>230</v>
      </c>
      <c r="E98" s="10" t="s">
        <v>231</v>
      </c>
      <c r="F98" s="10" t="s">
        <v>232</v>
      </c>
      <c r="G98" s="12" t="n">
        <v>46288</v>
      </c>
      <c r="H98" s="10" t="s">
        <v>14</v>
      </c>
      <c r="I98" s="10" t="n">
        <v>4</v>
      </c>
      <c r="J98" s="10" t="s">
        <v>6</v>
      </c>
      <c r="K98" s="12"/>
      <c r="L98" s="13" t="str">
        <f aca="false">IF(K98="","",K98-Resumo!$B$3)</f>
        <v/>
      </c>
      <c r="M98" s="10" t="s">
        <v>79</v>
      </c>
      <c r="N98" s="10" t="s">
        <v>54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55</v>
      </c>
      <c r="C99" s="10" t="s">
        <v>229</v>
      </c>
      <c r="D99" s="10" t="s">
        <v>230</v>
      </c>
      <c r="E99" s="10" t="s">
        <v>231</v>
      </c>
      <c r="F99" s="10" t="s">
        <v>232</v>
      </c>
      <c r="G99" s="12" t="n">
        <v>46288</v>
      </c>
      <c r="H99" s="10" t="s">
        <v>15</v>
      </c>
      <c r="I99" s="10" t="n">
        <v>14</v>
      </c>
      <c r="J99" s="10" t="s">
        <v>56</v>
      </c>
      <c r="K99" s="12" t="n">
        <v>46283</v>
      </c>
      <c r="L99" s="13" t="n">
        <f aca="false">IF(K99="","",K99-Resumo!$B$3)</f>
        <v>-35</v>
      </c>
      <c r="M99" s="10" t="s">
        <v>235</v>
      </c>
      <c r="N99" s="10" t="s">
        <v>58</v>
      </c>
      <c r="O99" s="14"/>
      <c r="P99" s="14" t="s">
        <v>22</v>
      </c>
      <c r="Q99" s="15"/>
      <c r="R99" s="14"/>
    </row>
    <row r="100" customFormat="false" ht="32.8" hidden="false" customHeight="false" outlineLevel="0" collapsed="false">
      <c r="A100" s="10" t="n">
        <v>99</v>
      </c>
      <c r="B100" s="11" t="s">
        <v>55</v>
      </c>
      <c r="C100" s="10" t="s">
        <v>236</v>
      </c>
      <c r="D100" s="10" t="s">
        <v>237</v>
      </c>
      <c r="E100" s="10" t="s">
        <v>238</v>
      </c>
      <c r="F100" s="10" t="s">
        <v>239</v>
      </c>
      <c r="G100" s="12" t="n">
        <v>46798</v>
      </c>
      <c r="H100" s="10" t="s">
        <v>14</v>
      </c>
      <c r="I100" s="10" t="n">
        <v>5</v>
      </c>
      <c r="J100" s="10" t="s">
        <v>50</v>
      </c>
      <c r="K100" s="12" t="n">
        <v>46323</v>
      </c>
      <c r="L100" s="13" t="n">
        <f aca="false">IF(K100="","",K100-Resumo!$B$3)</f>
        <v>5</v>
      </c>
      <c r="M100" s="10" t="s">
        <v>240</v>
      </c>
      <c r="N100" s="10" t="s">
        <v>54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236</v>
      </c>
      <c r="D101" s="10" t="s">
        <v>237</v>
      </c>
      <c r="E101" s="10" t="s">
        <v>238</v>
      </c>
      <c r="F101" s="10" t="s">
        <v>239</v>
      </c>
      <c r="G101" s="12" t="n">
        <v>46798</v>
      </c>
      <c r="H101" s="10" t="s">
        <v>15</v>
      </c>
      <c r="I101" s="10" t="n">
        <v>16</v>
      </c>
      <c r="J101" s="10" t="s">
        <v>56</v>
      </c>
      <c r="K101" s="12" t="n">
        <v>46281</v>
      </c>
      <c r="L101" s="13" t="n">
        <f aca="false">IF(K101="","",K101-Resumo!$B$3)</f>
        <v>-37</v>
      </c>
      <c r="M101" s="10" t="s">
        <v>57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45</v>
      </c>
      <c r="C102" s="10" t="s">
        <v>236</v>
      </c>
      <c r="D102" s="10" t="s">
        <v>237</v>
      </c>
      <c r="E102" s="10" t="s">
        <v>238</v>
      </c>
      <c r="F102" s="10" t="s">
        <v>239</v>
      </c>
      <c r="G102" s="12" t="n">
        <v>46798</v>
      </c>
      <c r="H102" s="10" t="s">
        <v>19</v>
      </c>
      <c r="I102" s="10" t="n">
        <v>15</v>
      </c>
      <c r="J102" s="10" t="s">
        <v>6</v>
      </c>
      <c r="K102" s="12"/>
      <c r="L102" s="13" t="str">
        <f aca="false">IF(K102="","",K102-Resumo!$B$3)</f>
        <v/>
      </c>
      <c r="M102" s="10" t="s">
        <v>79</v>
      </c>
      <c r="N102" s="10" t="s">
        <v>147</v>
      </c>
      <c r="O102" s="14"/>
      <c r="P102" s="14" t="s">
        <v>22</v>
      </c>
      <c r="Q102" s="15"/>
      <c r="R102" s="14"/>
    </row>
    <row r="103" customFormat="false" ht="22.35" hidden="false" customHeight="false" outlineLevel="0" collapsed="false">
      <c r="A103" s="10" t="n">
        <v>102</v>
      </c>
      <c r="B103" s="11" t="s">
        <v>55</v>
      </c>
      <c r="C103" s="10" t="s">
        <v>241</v>
      </c>
      <c r="D103" s="10" t="s">
        <v>242</v>
      </c>
      <c r="E103" s="10" t="s">
        <v>243</v>
      </c>
      <c r="F103" s="10" t="s">
        <v>244</v>
      </c>
      <c r="G103" s="12" t="n">
        <v>47004</v>
      </c>
      <c r="H103" s="10" t="s">
        <v>15</v>
      </c>
      <c r="I103" s="10" t="n">
        <v>16</v>
      </c>
      <c r="J103" s="10" t="s">
        <v>56</v>
      </c>
      <c r="K103" s="12" t="n">
        <v>46280</v>
      </c>
      <c r="L103" s="13" t="n">
        <f aca="false">IF(K103="","",K103-Resumo!$B$3)</f>
        <v>-38</v>
      </c>
      <c r="M103" s="10" t="s">
        <v>245</v>
      </c>
      <c r="N103" s="10" t="s">
        <v>58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45</v>
      </c>
      <c r="C104" s="10" t="s">
        <v>241</v>
      </c>
      <c r="D104" s="10" t="s">
        <v>242</v>
      </c>
      <c r="E104" s="10" t="s">
        <v>243</v>
      </c>
      <c r="F104" s="10" t="s">
        <v>244</v>
      </c>
      <c r="G104" s="12" t="n">
        <v>47004</v>
      </c>
      <c r="H104" s="10" t="s">
        <v>16</v>
      </c>
      <c r="I104" s="10" t="n">
        <v>15</v>
      </c>
      <c r="J104" s="10" t="s">
        <v>50</v>
      </c>
      <c r="K104" s="12" t="n">
        <v>46344</v>
      </c>
      <c r="L104" s="13" t="n">
        <f aca="false">IF(K104="","",K104-Resumo!$B$3)</f>
        <v>26</v>
      </c>
      <c r="M104" s="10" t="s">
        <v>246</v>
      </c>
      <c r="N104" s="10" t="s">
        <v>90</v>
      </c>
      <c r="O104" s="14"/>
      <c r="P104" s="14" t="s">
        <v>22</v>
      </c>
      <c r="Q104" s="15"/>
      <c r="R104" s="14"/>
    </row>
    <row r="105" customFormat="false" ht="22.35" hidden="false" customHeight="false" outlineLevel="0" collapsed="false">
      <c r="A105" s="10" t="n">
        <v>104</v>
      </c>
      <c r="B105" s="11" t="s">
        <v>55</v>
      </c>
      <c r="C105" s="10" t="s">
        <v>247</v>
      </c>
      <c r="D105" s="10" t="s">
        <v>47</v>
      </c>
      <c r="E105" s="10" t="s">
        <v>248</v>
      </c>
      <c r="F105" s="10" t="s">
        <v>249</v>
      </c>
      <c r="G105" s="12" t="n">
        <v>46046</v>
      </c>
      <c r="H105" s="10" t="s">
        <v>9</v>
      </c>
      <c r="I105" s="10" t="n">
        <v>20</v>
      </c>
      <c r="J105" s="10" t="s">
        <v>56</v>
      </c>
      <c r="K105" s="12" t="n">
        <v>45926</v>
      </c>
      <c r="L105" s="13" t="n">
        <f aca="false">IF(K105="","",K105-Resumo!$B$3)</f>
        <v>-392</v>
      </c>
      <c r="M105" s="10" t="s">
        <v>250</v>
      </c>
      <c r="N105" s="10" t="s">
        <v>99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80</v>
      </c>
      <c r="C106" s="10" t="s">
        <v>247</v>
      </c>
      <c r="D106" s="10" t="s">
        <v>47</v>
      </c>
      <c r="E106" s="10" t="s">
        <v>248</v>
      </c>
      <c r="F106" s="10" t="s">
        <v>249</v>
      </c>
      <c r="G106" s="12" t="n">
        <v>46046</v>
      </c>
      <c r="H106" s="10" t="s">
        <v>10</v>
      </c>
      <c r="I106" s="10"/>
      <c r="J106" s="10" t="s">
        <v>56</v>
      </c>
      <c r="K106" s="12" t="n">
        <v>45823</v>
      </c>
      <c r="L106" s="13" t="n">
        <f aca="false">IF(K106="","",K106-Resumo!$B$3)</f>
        <v>-495</v>
      </c>
      <c r="M106" s="10" t="s">
        <v>251</v>
      </c>
      <c r="N106" s="10" t="s">
        <v>52</v>
      </c>
      <c r="O106" s="14"/>
      <c r="P106" s="14" t="s">
        <v>22</v>
      </c>
      <c r="Q106" s="15"/>
      <c r="R106" s="14"/>
    </row>
    <row r="107" customFormat="false" ht="32.8" hidden="false" customHeight="false" outlineLevel="0" collapsed="false">
      <c r="A107" s="10" t="n">
        <v>106</v>
      </c>
      <c r="B107" s="11" t="s">
        <v>55</v>
      </c>
      <c r="C107" s="10" t="s">
        <v>247</v>
      </c>
      <c r="D107" s="10" t="s">
        <v>47</v>
      </c>
      <c r="E107" s="10" t="s">
        <v>248</v>
      </c>
      <c r="F107" s="10" t="s">
        <v>249</v>
      </c>
      <c r="G107" s="12" t="n">
        <v>46046</v>
      </c>
      <c r="H107" s="10" t="s">
        <v>14</v>
      </c>
      <c r="I107" s="10" t="n">
        <v>5</v>
      </c>
      <c r="J107" s="10" t="s">
        <v>56</v>
      </c>
      <c r="K107" s="12" t="n">
        <v>46058</v>
      </c>
      <c r="L107" s="13" t="n">
        <f aca="false">IF(K107="","",K107-Resumo!$B$3)</f>
        <v>-260</v>
      </c>
      <c r="M107" s="10" t="s">
        <v>252</v>
      </c>
      <c r="N107" s="10" t="s">
        <v>54</v>
      </c>
      <c r="O107" s="14"/>
      <c r="P107" s="14" t="s">
        <v>22</v>
      </c>
      <c r="Q107" s="15"/>
      <c r="R107" s="14"/>
    </row>
    <row r="108" customFormat="false" ht="22.35" hidden="false" customHeight="false" outlineLevel="0" collapsed="false">
      <c r="A108" s="10" t="n">
        <v>107</v>
      </c>
      <c r="B108" s="11" t="s">
        <v>55</v>
      </c>
      <c r="C108" s="10" t="s">
        <v>247</v>
      </c>
      <c r="D108" s="10" t="s">
        <v>47</v>
      </c>
      <c r="E108" s="10" t="s">
        <v>248</v>
      </c>
      <c r="F108" s="10" t="s">
        <v>249</v>
      </c>
      <c r="G108" s="12" t="n">
        <v>46046</v>
      </c>
      <c r="H108" s="10" t="s">
        <v>15</v>
      </c>
      <c r="I108" s="10" t="n">
        <v>15</v>
      </c>
      <c r="J108" s="10" t="s">
        <v>56</v>
      </c>
      <c r="K108" s="12" t="n">
        <v>46281</v>
      </c>
      <c r="L108" s="13" t="n">
        <f aca="false">IF(K108="","",K108-Resumo!$B$3)</f>
        <v>-37</v>
      </c>
      <c r="M108" s="10" t="s">
        <v>57</v>
      </c>
      <c r="N108" s="10" t="s">
        <v>58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253</v>
      </c>
      <c r="D109" s="10" t="s">
        <v>95</v>
      </c>
      <c r="E109" s="10" t="s">
        <v>254</v>
      </c>
      <c r="F109" s="10" t="s">
        <v>255</v>
      </c>
      <c r="G109" s="12" t="n">
        <v>46970</v>
      </c>
      <c r="H109" s="10" t="s">
        <v>15</v>
      </c>
      <c r="I109" s="10" t="n">
        <v>15</v>
      </c>
      <c r="J109" s="10" t="s">
        <v>56</v>
      </c>
      <c r="K109" s="12" t="n">
        <v>46281</v>
      </c>
      <c r="L109" s="13" t="n">
        <f aca="false">IF(K109="","",K109-Resumo!$B$3)</f>
        <v>-37</v>
      </c>
      <c r="M109" s="10" t="s">
        <v>57</v>
      </c>
      <c r="N109" s="10" t="s">
        <v>58</v>
      </c>
      <c r="O109" s="14"/>
      <c r="P109" s="14" t="s">
        <v>22</v>
      </c>
      <c r="Q109" s="15"/>
      <c r="R109" s="14"/>
    </row>
    <row r="110" customFormat="false" ht="22.35" hidden="false" customHeight="false" outlineLevel="0" collapsed="false">
      <c r="A110" s="10" t="n">
        <v>109</v>
      </c>
      <c r="B110" s="11" t="s">
        <v>55</v>
      </c>
      <c r="C110" s="10" t="s">
        <v>256</v>
      </c>
      <c r="D110" s="10" t="s">
        <v>70</v>
      </c>
      <c r="E110" s="10" t="s">
        <v>257</v>
      </c>
      <c r="F110" s="10" t="s">
        <v>258</v>
      </c>
      <c r="G110" s="12" t="n">
        <v>46505</v>
      </c>
      <c r="H110" s="10" t="s">
        <v>10</v>
      </c>
      <c r="I110" s="10"/>
      <c r="J110" s="10" t="s">
        <v>50</v>
      </c>
      <c r="K110" s="12" t="n">
        <v>46319</v>
      </c>
      <c r="L110" s="13" t="n">
        <f aca="false">IF(K110="","",K110-Resumo!$B$3)</f>
        <v>1</v>
      </c>
      <c r="M110" s="10" t="s">
        <v>259</v>
      </c>
      <c r="N110" s="10" t="s">
        <v>52</v>
      </c>
      <c r="O110" s="14"/>
      <c r="P110" s="14" t="s">
        <v>22</v>
      </c>
      <c r="Q110" s="15"/>
      <c r="R110" s="14"/>
    </row>
    <row r="111" customFormat="false" ht="32.8" hidden="false" customHeight="false" outlineLevel="0" collapsed="false">
      <c r="A111" s="10" t="n">
        <v>110</v>
      </c>
      <c r="B111" s="11" t="s">
        <v>55</v>
      </c>
      <c r="C111" s="10" t="s">
        <v>256</v>
      </c>
      <c r="D111" s="10" t="s">
        <v>70</v>
      </c>
      <c r="E111" s="10" t="s">
        <v>257</v>
      </c>
      <c r="F111" s="10" t="s">
        <v>258</v>
      </c>
      <c r="G111" s="12" t="n">
        <v>46505</v>
      </c>
      <c r="H111" s="10" t="s">
        <v>14</v>
      </c>
      <c r="I111" s="10" t="n">
        <v>5</v>
      </c>
      <c r="J111" s="10" t="s">
        <v>56</v>
      </c>
      <c r="K111" s="12" t="n">
        <v>45891</v>
      </c>
      <c r="L111" s="13" t="n">
        <f aca="false">IF(K111="","",K111-Resumo!$B$3)</f>
        <v>-427</v>
      </c>
      <c r="M111" s="10" t="s">
        <v>260</v>
      </c>
      <c r="N111" s="10" t="s">
        <v>54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256</v>
      </c>
      <c r="D112" s="10" t="s">
        <v>70</v>
      </c>
      <c r="E112" s="10" t="s">
        <v>257</v>
      </c>
      <c r="F112" s="10" t="s">
        <v>258</v>
      </c>
      <c r="G112" s="12" t="n">
        <v>46505</v>
      </c>
      <c r="H112" s="10" t="s">
        <v>15</v>
      </c>
      <c r="I112" s="10" t="n">
        <v>15</v>
      </c>
      <c r="J112" s="10" t="s">
        <v>56</v>
      </c>
      <c r="K112" s="12" t="n">
        <v>46282</v>
      </c>
      <c r="L112" s="13" t="n">
        <f aca="false">IF(K112="","",K112-Resumo!$B$3)</f>
        <v>-36</v>
      </c>
      <c r="M112" s="10" t="s">
        <v>74</v>
      </c>
      <c r="N112" s="10" t="s">
        <v>58</v>
      </c>
      <c r="O112" s="14"/>
      <c r="P112" s="14" t="s">
        <v>22</v>
      </c>
      <c r="Q112" s="15"/>
      <c r="R112" s="14"/>
    </row>
    <row r="113" customFormat="false" ht="22.35" hidden="false" customHeight="false" outlineLevel="0" collapsed="false">
      <c r="A113" s="10" t="n">
        <v>112</v>
      </c>
      <c r="B113" s="11" t="s">
        <v>55</v>
      </c>
      <c r="C113" s="10" t="s">
        <v>261</v>
      </c>
      <c r="D113" s="10" t="s">
        <v>262</v>
      </c>
      <c r="E113" s="10" t="s">
        <v>263</v>
      </c>
      <c r="F113" s="10" t="s">
        <v>264</v>
      </c>
      <c r="G113" s="12" t="n">
        <v>46346</v>
      </c>
      <c r="H113" s="10" t="s">
        <v>9</v>
      </c>
      <c r="I113" s="10"/>
      <c r="J113" s="10" t="s">
        <v>56</v>
      </c>
      <c r="K113" s="12" t="n">
        <v>46226</v>
      </c>
      <c r="L113" s="13" t="n">
        <f aca="false">IF(K113="","",K113-Resumo!$B$3)</f>
        <v>-92</v>
      </c>
      <c r="M113" s="10" t="s">
        <v>265</v>
      </c>
      <c r="N113" s="10" t="s">
        <v>99</v>
      </c>
      <c r="O113" s="14"/>
      <c r="P113" s="14" t="s">
        <v>22</v>
      </c>
      <c r="Q113" s="15"/>
      <c r="R113" s="14"/>
    </row>
    <row r="114" customFormat="false" ht="22.35" hidden="false" customHeight="false" outlineLevel="0" collapsed="false">
      <c r="A114" s="10" t="n">
        <v>113</v>
      </c>
      <c r="B114" s="11" t="s">
        <v>55</v>
      </c>
      <c r="C114" s="10" t="s">
        <v>261</v>
      </c>
      <c r="D114" s="10" t="s">
        <v>262</v>
      </c>
      <c r="E114" s="10" t="s">
        <v>263</v>
      </c>
      <c r="F114" s="10" t="s">
        <v>264</v>
      </c>
      <c r="G114" s="12" t="n">
        <v>46346</v>
      </c>
      <c r="H114" s="10" t="s">
        <v>15</v>
      </c>
      <c r="I114" s="10"/>
      <c r="J114" s="10" t="s">
        <v>56</v>
      </c>
      <c r="K114" s="12" t="n">
        <v>46282</v>
      </c>
      <c r="L114" s="13" t="n">
        <f aca="false">IF(K114="","",K114-Resumo!$B$3)</f>
        <v>-36</v>
      </c>
      <c r="M114" s="10" t="s">
        <v>74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55</v>
      </c>
      <c r="C115" s="10" t="s">
        <v>266</v>
      </c>
      <c r="D115" s="10" t="s">
        <v>65</v>
      </c>
      <c r="E115" s="10" t="s">
        <v>267</v>
      </c>
      <c r="F115" s="10" t="s">
        <v>268</v>
      </c>
      <c r="G115" s="12" t="n">
        <v>46373</v>
      </c>
      <c r="H115" s="10" t="s">
        <v>9</v>
      </c>
      <c r="I115" s="10" t="n">
        <v>22</v>
      </c>
      <c r="J115" s="10" t="s">
        <v>56</v>
      </c>
      <c r="K115" s="12" t="n">
        <v>46253</v>
      </c>
      <c r="L115" s="13" t="n">
        <f aca="false">IF(K115="","",K115-Resumo!$B$3)</f>
        <v>-65</v>
      </c>
      <c r="M115" s="10" t="s">
        <v>269</v>
      </c>
      <c r="N115" s="10" t="s">
        <v>99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80</v>
      </c>
      <c r="C116" s="10" t="s">
        <v>266</v>
      </c>
      <c r="D116" s="10" t="s">
        <v>65</v>
      </c>
      <c r="E116" s="10" t="s">
        <v>267</v>
      </c>
      <c r="F116" s="10" t="s">
        <v>268</v>
      </c>
      <c r="G116" s="12" t="n">
        <v>46373</v>
      </c>
      <c r="H116" s="10" t="s">
        <v>10</v>
      </c>
      <c r="I116" s="10"/>
      <c r="J116" s="10" t="s">
        <v>56</v>
      </c>
      <c r="K116" s="12" t="n">
        <v>45884</v>
      </c>
      <c r="L116" s="13" t="n">
        <f aca="false">IF(K116="","",K116-Resumo!$B$3)</f>
        <v>-434</v>
      </c>
      <c r="M116" s="10" t="s">
        <v>270</v>
      </c>
      <c r="N116" s="10" t="s">
        <v>52</v>
      </c>
      <c r="O116" s="14"/>
      <c r="P116" s="14" t="s">
        <v>22</v>
      </c>
      <c r="Q116" s="15"/>
      <c r="R116" s="14"/>
    </row>
    <row r="117" customFormat="false" ht="32.8" hidden="false" customHeight="false" outlineLevel="0" collapsed="false">
      <c r="A117" s="10" t="n">
        <v>116</v>
      </c>
      <c r="B117" s="11" t="s">
        <v>55</v>
      </c>
      <c r="C117" s="10" t="s">
        <v>266</v>
      </c>
      <c r="D117" s="10" t="s">
        <v>65</v>
      </c>
      <c r="E117" s="10" t="s">
        <v>267</v>
      </c>
      <c r="F117" s="10" t="s">
        <v>268</v>
      </c>
      <c r="G117" s="12" t="n">
        <v>46373</v>
      </c>
      <c r="H117" s="10" t="s">
        <v>14</v>
      </c>
      <c r="I117" s="10" t="n">
        <v>5</v>
      </c>
      <c r="J117" s="10" t="s">
        <v>56</v>
      </c>
      <c r="K117" s="12" t="n">
        <v>46065</v>
      </c>
      <c r="L117" s="13" t="n">
        <f aca="false">IF(K117="","",K117-Resumo!$B$3)</f>
        <v>-253</v>
      </c>
      <c r="M117" s="10" t="s">
        <v>271</v>
      </c>
      <c r="N117" s="10" t="s">
        <v>54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55</v>
      </c>
      <c r="C118" s="10" t="s">
        <v>266</v>
      </c>
      <c r="D118" s="10" t="s">
        <v>65</v>
      </c>
      <c r="E118" s="10" t="s">
        <v>267</v>
      </c>
      <c r="F118" s="10" t="s">
        <v>268</v>
      </c>
      <c r="G118" s="12" t="n">
        <v>46373</v>
      </c>
      <c r="H118" s="10" t="s">
        <v>15</v>
      </c>
      <c r="I118" s="10" t="n">
        <v>16</v>
      </c>
      <c r="J118" s="10" t="s">
        <v>56</v>
      </c>
      <c r="K118" s="12" t="n">
        <v>46281</v>
      </c>
      <c r="L118" s="13" t="n">
        <f aca="false">IF(K118="","",K118-Resumo!$B$3)</f>
        <v>-37</v>
      </c>
      <c r="M118" s="10" t="s">
        <v>57</v>
      </c>
      <c r="N118" s="10" t="s">
        <v>58</v>
      </c>
      <c r="O118" s="14"/>
      <c r="P118" s="14" t="s">
        <v>22</v>
      </c>
      <c r="Q118" s="15"/>
      <c r="R118" s="14"/>
    </row>
    <row r="119" customFormat="false" ht="32.8" hidden="false" customHeight="false" outlineLevel="0" collapsed="false">
      <c r="A119" s="10" t="n">
        <v>118</v>
      </c>
      <c r="B119" s="11" t="s">
        <v>55</v>
      </c>
      <c r="C119" s="10" t="s">
        <v>272</v>
      </c>
      <c r="D119" s="10" t="s">
        <v>273</v>
      </c>
      <c r="E119" s="10" t="s">
        <v>274</v>
      </c>
      <c r="F119" s="10" t="s">
        <v>275</v>
      </c>
      <c r="G119" s="12" t="n">
        <v>48010</v>
      </c>
      <c r="H119" s="10" t="s">
        <v>14</v>
      </c>
      <c r="I119" s="10" t="n">
        <v>5</v>
      </c>
      <c r="J119" s="10" t="s">
        <v>56</v>
      </c>
      <c r="K119" s="12" t="n">
        <v>46127</v>
      </c>
      <c r="L119" s="13" t="n">
        <f aca="false">IF(K119="","",K119-Resumo!$B$3)</f>
        <v>-191</v>
      </c>
      <c r="M119" s="10" t="s">
        <v>276</v>
      </c>
      <c r="N119" s="10" t="s">
        <v>54</v>
      </c>
      <c r="O119" s="14"/>
      <c r="P119" s="14" t="s">
        <v>22</v>
      </c>
      <c r="Q119" s="15"/>
      <c r="R119" s="14"/>
    </row>
    <row r="120" customFormat="false" ht="22.35" hidden="false" customHeight="false" outlineLevel="0" collapsed="false">
      <c r="A120" s="10" t="n">
        <v>119</v>
      </c>
      <c r="B120" s="11" t="s">
        <v>55</v>
      </c>
      <c r="C120" s="10" t="s">
        <v>272</v>
      </c>
      <c r="D120" s="10" t="s">
        <v>273</v>
      </c>
      <c r="E120" s="10" t="s">
        <v>274</v>
      </c>
      <c r="F120" s="10" t="s">
        <v>275</v>
      </c>
      <c r="G120" s="12" t="n">
        <v>48010</v>
      </c>
      <c r="H120" s="10" t="s">
        <v>15</v>
      </c>
      <c r="I120" s="10" t="n">
        <v>15</v>
      </c>
      <c r="J120" s="10" t="s">
        <v>56</v>
      </c>
      <c r="K120" s="12" t="n">
        <v>46280</v>
      </c>
      <c r="L120" s="13" t="n">
        <f aca="false">IF(K120="","",K120-Resumo!$B$3)</f>
        <v>-38</v>
      </c>
      <c r="M120" s="10" t="s">
        <v>245</v>
      </c>
      <c r="N120" s="10" t="s">
        <v>58</v>
      </c>
      <c r="O120" s="14"/>
      <c r="P120" s="14" t="s">
        <v>22</v>
      </c>
      <c r="Q120" s="15"/>
      <c r="R120" s="14"/>
    </row>
    <row r="121" customFormat="false" ht="22.35" hidden="false" customHeight="false" outlineLevel="0" collapsed="false">
      <c r="A121" s="10" t="n">
        <v>120</v>
      </c>
      <c r="B121" s="11" t="s">
        <v>55</v>
      </c>
      <c r="C121" s="10" t="s">
        <v>277</v>
      </c>
      <c r="D121" s="10" t="s">
        <v>278</v>
      </c>
      <c r="E121" s="10" t="s">
        <v>279</v>
      </c>
      <c r="F121" s="10" t="s">
        <v>280</v>
      </c>
      <c r="G121" s="12" t="n">
        <v>46238</v>
      </c>
      <c r="H121" s="10" t="s">
        <v>9</v>
      </c>
      <c r="I121" s="10" t="n">
        <v>19</v>
      </c>
      <c r="J121" s="10" t="s">
        <v>56</v>
      </c>
      <c r="K121" s="12" t="n">
        <v>46118</v>
      </c>
      <c r="L121" s="13" t="n">
        <f aca="false">IF(K121="","",K121-Resumo!$B$3)</f>
        <v>-200</v>
      </c>
      <c r="M121" s="10" t="s">
        <v>281</v>
      </c>
      <c r="N121" s="10" t="s">
        <v>99</v>
      </c>
      <c r="O121" s="14"/>
      <c r="P121" s="14" t="s">
        <v>22</v>
      </c>
      <c r="Q121" s="15"/>
      <c r="R121" s="14"/>
    </row>
    <row r="122" customFormat="false" ht="32.8" hidden="false" customHeight="false" outlineLevel="0" collapsed="false">
      <c r="A122" s="10" t="n">
        <v>121</v>
      </c>
      <c r="B122" s="11" t="s">
        <v>45</v>
      </c>
      <c r="C122" s="10" t="s">
        <v>277</v>
      </c>
      <c r="D122" s="10" t="s">
        <v>278</v>
      </c>
      <c r="E122" s="10" t="s">
        <v>279</v>
      </c>
      <c r="F122" s="10" t="s">
        <v>280</v>
      </c>
      <c r="G122" s="12" t="n">
        <v>46238</v>
      </c>
      <c r="H122" s="10" t="s">
        <v>14</v>
      </c>
      <c r="I122" s="10" t="n">
        <v>4</v>
      </c>
      <c r="J122" s="10" t="s">
        <v>6</v>
      </c>
      <c r="K122" s="12"/>
      <c r="L122" s="13" t="str">
        <f aca="false">IF(K122="","",K122-Resumo!$B$3)</f>
        <v/>
      </c>
      <c r="M122" s="10" t="s">
        <v>79</v>
      </c>
      <c r="N122" s="10" t="s">
        <v>54</v>
      </c>
      <c r="O122" s="14"/>
      <c r="P122" s="14" t="s">
        <v>22</v>
      </c>
      <c r="Q122" s="15"/>
      <c r="R122" s="14"/>
    </row>
    <row r="123" customFormat="false" ht="32.8" hidden="false" customHeight="false" outlineLevel="0" collapsed="false">
      <c r="A123" s="10" t="n">
        <v>122</v>
      </c>
      <c r="B123" s="11" t="s">
        <v>55</v>
      </c>
      <c r="C123" s="10" t="s">
        <v>277</v>
      </c>
      <c r="D123" s="10" t="s">
        <v>278</v>
      </c>
      <c r="E123" s="10" t="s">
        <v>279</v>
      </c>
      <c r="F123" s="10" t="s">
        <v>280</v>
      </c>
      <c r="G123" s="12" t="n">
        <v>46238</v>
      </c>
      <c r="H123" s="10" t="s">
        <v>15</v>
      </c>
      <c r="I123" s="10" t="n">
        <v>14</v>
      </c>
      <c r="J123" s="10" t="s">
        <v>56</v>
      </c>
      <c r="K123" s="12" t="n">
        <v>46280</v>
      </c>
      <c r="L123" s="13" t="n">
        <f aca="false">IF(K123="","",K123-Resumo!$B$3)</f>
        <v>-38</v>
      </c>
      <c r="M123" s="10" t="s">
        <v>282</v>
      </c>
      <c r="N123" s="10" t="s">
        <v>58</v>
      </c>
      <c r="O123" s="14"/>
      <c r="P123" s="14" t="s">
        <v>22</v>
      </c>
      <c r="Q123" s="15"/>
      <c r="R123" s="14"/>
    </row>
    <row r="124" customFormat="false" ht="22.35" hidden="false" customHeight="false" outlineLevel="0" collapsed="false">
      <c r="A124" s="10" t="n">
        <v>123</v>
      </c>
      <c r="B124" s="11" t="s">
        <v>45</v>
      </c>
      <c r="C124" s="10" t="s">
        <v>277</v>
      </c>
      <c r="D124" s="10" t="s">
        <v>278</v>
      </c>
      <c r="E124" s="10" t="s">
        <v>279</v>
      </c>
      <c r="F124" s="10" t="s">
        <v>280</v>
      </c>
      <c r="G124" s="12" t="n">
        <v>46238</v>
      </c>
      <c r="H124" s="10" t="s">
        <v>16</v>
      </c>
      <c r="I124" s="10" t="n">
        <v>13</v>
      </c>
      <c r="J124" s="10" t="s">
        <v>50</v>
      </c>
      <c r="K124" s="12" t="n">
        <v>46340</v>
      </c>
      <c r="L124" s="13" t="n">
        <f aca="false">IF(K124="","",K124-Resumo!$B$3)</f>
        <v>22</v>
      </c>
      <c r="M124" s="10" t="s">
        <v>283</v>
      </c>
      <c r="N124" s="10" t="s">
        <v>90</v>
      </c>
      <c r="O124" s="14"/>
      <c r="P124" s="14" t="s">
        <v>22</v>
      </c>
      <c r="Q124" s="15"/>
      <c r="R124" s="14"/>
    </row>
    <row r="125" customFormat="false" ht="22.35" hidden="false" customHeight="false" outlineLevel="0" collapsed="false">
      <c r="A125" s="10" t="n">
        <v>124</v>
      </c>
      <c r="B125" s="11" t="s">
        <v>55</v>
      </c>
      <c r="C125" s="10" t="s">
        <v>284</v>
      </c>
      <c r="D125" s="10" t="s">
        <v>285</v>
      </c>
      <c r="E125" s="10" t="s">
        <v>286</v>
      </c>
      <c r="F125" s="10" t="s">
        <v>287</v>
      </c>
      <c r="G125" s="12" t="n">
        <v>46043</v>
      </c>
      <c r="H125" s="10" t="s">
        <v>9</v>
      </c>
      <c r="I125" s="10" t="n">
        <v>21</v>
      </c>
      <c r="J125" s="10" t="s">
        <v>56</v>
      </c>
      <c r="K125" s="12" t="n">
        <v>45923</v>
      </c>
      <c r="L125" s="13" t="n">
        <f aca="false">IF(K125="","",K125-Resumo!$B$3)</f>
        <v>-395</v>
      </c>
      <c r="M125" s="10" t="s">
        <v>288</v>
      </c>
      <c r="N125" s="10" t="s">
        <v>99</v>
      </c>
      <c r="O125" s="14"/>
      <c r="P125" s="14" t="s">
        <v>22</v>
      </c>
      <c r="Q125" s="15"/>
      <c r="R125" s="14"/>
    </row>
    <row r="126" customFormat="false" ht="32.8" hidden="false" customHeight="false" outlineLevel="0" collapsed="false">
      <c r="A126" s="10" t="n">
        <v>125</v>
      </c>
      <c r="B126" s="11" t="s">
        <v>55</v>
      </c>
      <c r="C126" s="10" t="s">
        <v>284</v>
      </c>
      <c r="D126" s="10" t="s">
        <v>285</v>
      </c>
      <c r="E126" s="10" t="s">
        <v>286</v>
      </c>
      <c r="F126" s="10" t="s">
        <v>287</v>
      </c>
      <c r="G126" s="12" t="n">
        <v>46043</v>
      </c>
      <c r="H126" s="10" t="s">
        <v>14</v>
      </c>
      <c r="I126" s="10" t="n">
        <v>5</v>
      </c>
      <c r="J126" s="10" t="s">
        <v>56</v>
      </c>
      <c r="K126" s="12" t="n">
        <v>46113</v>
      </c>
      <c r="L126" s="13" t="n">
        <f aca="false">IF(K126="","",K126-Resumo!$B$3)</f>
        <v>-205</v>
      </c>
      <c r="M126" s="10" t="s">
        <v>289</v>
      </c>
      <c r="N126" s="10" t="s">
        <v>54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55</v>
      </c>
      <c r="C127" s="10" t="s">
        <v>284</v>
      </c>
      <c r="D127" s="10" t="s">
        <v>285</v>
      </c>
      <c r="E127" s="10" t="s">
        <v>286</v>
      </c>
      <c r="F127" s="10" t="s">
        <v>287</v>
      </c>
      <c r="G127" s="12" t="n">
        <v>46043</v>
      </c>
      <c r="H127" s="10" t="s">
        <v>15</v>
      </c>
      <c r="I127" s="10" t="n">
        <v>17</v>
      </c>
      <c r="J127" s="10" t="s">
        <v>56</v>
      </c>
      <c r="K127" s="12" t="n">
        <v>45351</v>
      </c>
      <c r="L127" s="13" t="n">
        <f aca="false">IF(K127="","",K127-Resumo!$B$3)</f>
        <v>-967</v>
      </c>
      <c r="M127" s="10" t="s">
        <v>290</v>
      </c>
      <c r="N127" s="10" t="s">
        <v>58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55</v>
      </c>
      <c r="C128" s="10" t="s">
        <v>291</v>
      </c>
      <c r="D128" s="10" t="s">
        <v>221</v>
      </c>
      <c r="E128" s="10" t="s">
        <v>292</v>
      </c>
      <c r="F128" s="10" t="s">
        <v>293</v>
      </c>
      <c r="G128" s="12" t="n">
        <v>46408</v>
      </c>
      <c r="H128" s="10" t="s">
        <v>9</v>
      </c>
      <c r="I128" s="10" t="n">
        <v>19</v>
      </c>
      <c r="J128" s="10" t="s">
        <v>56</v>
      </c>
      <c r="K128" s="12" t="n">
        <v>46288</v>
      </c>
      <c r="L128" s="13" t="n">
        <f aca="false">IF(K128="","",K128-Resumo!$B$3)</f>
        <v>-30</v>
      </c>
      <c r="M128" s="10" t="s">
        <v>294</v>
      </c>
      <c r="N128" s="10" t="s">
        <v>99</v>
      </c>
      <c r="O128" s="14"/>
      <c r="P128" s="14" t="s">
        <v>22</v>
      </c>
      <c r="Q128" s="15"/>
      <c r="R128" s="14"/>
    </row>
    <row r="129" customFormat="false" ht="32.8" hidden="false" customHeight="false" outlineLevel="0" collapsed="false">
      <c r="A129" s="10" t="n">
        <v>128</v>
      </c>
      <c r="B129" s="11" t="s">
        <v>55</v>
      </c>
      <c r="C129" s="10" t="s">
        <v>291</v>
      </c>
      <c r="D129" s="10" t="s">
        <v>221</v>
      </c>
      <c r="E129" s="10" t="s">
        <v>292</v>
      </c>
      <c r="F129" s="10" t="s">
        <v>293</v>
      </c>
      <c r="G129" s="12" t="n">
        <v>46408</v>
      </c>
      <c r="H129" s="10" t="s">
        <v>14</v>
      </c>
      <c r="I129" s="10" t="n">
        <v>5</v>
      </c>
      <c r="J129" s="10" t="s">
        <v>56</v>
      </c>
      <c r="K129" s="12" t="n">
        <v>46113</v>
      </c>
      <c r="L129" s="13" t="n">
        <f aca="false">IF(K129="","",K129-Resumo!$B$3)</f>
        <v>-205</v>
      </c>
      <c r="M129" s="10" t="s">
        <v>289</v>
      </c>
      <c r="N129" s="10" t="s">
        <v>54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55</v>
      </c>
      <c r="C130" s="10" t="s">
        <v>291</v>
      </c>
      <c r="D130" s="10" t="s">
        <v>221</v>
      </c>
      <c r="E130" s="10" t="s">
        <v>292</v>
      </c>
      <c r="F130" s="10" t="s">
        <v>293</v>
      </c>
      <c r="G130" s="12" t="n">
        <v>46408</v>
      </c>
      <c r="H130" s="10" t="s">
        <v>15</v>
      </c>
      <c r="I130" s="10" t="n">
        <v>15</v>
      </c>
      <c r="J130" s="10" t="s">
        <v>56</v>
      </c>
      <c r="K130" s="12" t="n">
        <v>46282</v>
      </c>
      <c r="L130" s="13" t="n">
        <f aca="false">IF(K130="","",K130-Resumo!$B$3)</f>
        <v>-36</v>
      </c>
      <c r="M130" s="10" t="s">
        <v>74</v>
      </c>
      <c r="N130" s="10" t="s">
        <v>58</v>
      </c>
      <c r="O130" s="14"/>
      <c r="P130" s="14" t="s">
        <v>22</v>
      </c>
      <c r="Q130" s="15"/>
      <c r="R130" s="14"/>
    </row>
    <row r="131" customFormat="false" ht="22.35" hidden="false" customHeight="false" outlineLevel="0" collapsed="false">
      <c r="A131" s="10" t="n">
        <v>130</v>
      </c>
      <c r="B131" s="11" t="s">
        <v>45</v>
      </c>
      <c r="C131" s="10" t="s">
        <v>295</v>
      </c>
      <c r="D131" s="10" t="s">
        <v>95</v>
      </c>
      <c r="E131" s="10" t="s">
        <v>296</v>
      </c>
      <c r="F131" s="10" t="s">
        <v>297</v>
      </c>
      <c r="G131" s="12" t="n">
        <v>47310</v>
      </c>
      <c r="H131" s="10" t="s">
        <v>13</v>
      </c>
      <c r="I131" s="10" t="n">
        <v>9</v>
      </c>
      <c r="J131" s="10" t="s">
        <v>6</v>
      </c>
      <c r="K131" s="12"/>
      <c r="L131" s="13" t="str">
        <f aca="false">IF(K131="","",K131-Resumo!$B$3)</f>
        <v/>
      </c>
      <c r="M131" s="10" t="s">
        <v>79</v>
      </c>
      <c r="N131" s="10" t="s">
        <v>102</v>
      </c>
      <c r="O131" s="14"/>
      <c r="P131" s="14" t="s">
        <v>22</v>
      </c>
      <c r="Q131" s="15"/>
      <c r="R131" s="14"/>
    </row>
    <row r="132" customFormat="false" ht="32.8" hidden="false" customHeight="false" outlineLevel="0" collapsed="false">
      <c r="A132" s="10" t="n">
        <v>131</v>
      </c>
      <c r="B132" s="11" t="s">
        <v>45</v>
      </c>
      <c r="C132" s="10" t="s">
        <v>295</v>
      </c>
      <c r="D132" s="10" t="s">
        <v>95</v>
      </c>
      <c r="E132" s="10" t="s">
        <v>296</v>
      </c>
      <c r="F132" s="10" t="s">
        <v>297</v>
      </c>
      <c r="G132" s="12" t="n">
        <v>47310</v>
      </c>
      <c r="H132" s="10" t="s">
        <v>14</v>
      </c>
      <c r="I132" s="10" t="n">
        <v>5</v>
      </c>
      <c r="J132" s="10" t="s">
        <v>6</v>
      </c>
      <c r="K132" s="12"/>
      <c r="L132" s="13" t="str">
        <f aca="false">IF(K132="","",K132-Resumo!$B$3)</f>
        <v/>
      </c>
      <c r="M132" s="10" t="s">
        <v>79</v>
      </c>
      <c r="N132" s="10" t="s">
        <v>54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55</v>
      </c>
      <c r="C133" s="10" t="s">
        <v>295</v>
      </c>
      <c r="D133" s="10" t="s">
        <v>95</v>
      </c>
      <c r="E133" s="10" t="s">
        <v>296</v>
      </c>
      <c r="F133" s="10" t="s">
        <v>297</v>
      </c>
      <c r="G133" s="12" t="n">
        <v>47310</v>
      </c>
      <c r="H133" s="10" t="s">
        <v>15</v>
      </c>
      <c r="I133" s="10" t="n">
        <v>16</v>
      </c>
      <c r="J133" s="10" t="s">
        <v>56</v>
      </c>
      <c r="K133" s="12" t="n">
        <v>46043</v>
      </c>
      <c r="L133" s="13" t="n">
        <f aca="false">IF(K133="","",K133-Resumo!$B$3)</f>
        <v>-275</v>
      </c>
      <c r="M133" s="10" t="s">
        <v>298</v>
      </c>
      <c r="N133" s="10" t="s">
        <v>58</v>
      </c>
      <c r="O133" s="14"/>
      <c r="P133" s="14" t="s">
        <v>22</v>
      </c>
      <c r="Q133" s="15"/>
      <c r="R133" s="14"/>
    </row>
    <row r="134" customFormat="false" ht="32.8" hidden="false" customHeight="false" outlineLevel="0" collapsed="false">
      <c r="A134" s="10" t="n">
        <v>133</v>
      </c>
      <c r="B134" s="11" t="s">
        <v>55</v>
      </c>
      <c r="C134" s="10" t="s">
        <v>299</v>
      </c>
      <c r="D134" s="10" t="s">
        <v>167</v>
      </c>
      <c r="E134" s="10" t="s">
        <v>300</v>
      </c>
      <c r="F134" s="10" t="s">
        <v>301</v>
      </c>
      <c r="G134" s="12" t="n">
        <v>46658</v>
      </c>
      <c r="H134" s="10" t="s">
        <v>14</v>
      </c>
      <c r="I134" s="10" t="n">
        <v>5</v>
      </c>
      <c r="J134" s="10" t="s">
        <v>56</v>
      </c>
      <c r="K134" s="12" t="n">
        <v>46107</v>
      </c>
      <c r="L134" s="13" t="n">
        <f aca="false">IF(K134="","",K134-Resumo!$B$3)</f>
        <v>-211</v>
      </c>
      <c r="M134" s="10" t="s">
        <v>302</v>
      </c>
      <c r="N134" s="10" t="s">
        <v>54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55</v>
      </c>
      <c r="C135" s="10" t="s">
        <v>299</v>
      </c>
      <c r="D135" s="10" t="s">
        <v>167</v>
      </c>
      <c r="E135" s="10" t="s">
        <v>300</v>
      </c>
      <c r="F135" s="10" t="s">
        <v>301</v>
      </c>
      <c r="G135" s="12" t="n">
        <v>46658</v>
      </c>
      <c r="H135" s="10" t="s">
        <v>15</v>
      </c>
      <c r="I135" s="10" t="n">
        <v>18</v>
      </c>
      <c r="J135" s="10" t="s">
        <v>56</v>
      </c>
      <c r="K135" s="12" t="n">
        <v>46280</v>
      </c>
      <c r="L135" s="13" t="n">
        <f aca="false">IF(K135="","",K135-Resumo!$B$3)</f>
        <v>-38</v>
      </c>
      <c r="M135" s="10" t="s">
        <v>245</v>
      </c>
      <c r="N135" s="10" t="s">
        <v>58</v>
      </c>
      <c r="O135" s="14"/>
      <c r="P135" s="14" t="s">
        <v>22</v>
      </c>
      <c r="Q135" s="15"/>
      <c r="R135" s="14"/>
    </row>
    <row r="136" customFormat="false" ht="22.35" hidden="false" customHeight="false" outlineLevel="0" collapsed="false">
      <c r="A136" s="10" t="n">
        <v>135</v>
      </c>
      <c r="B136" s="11" t="s">
        <v>45</v>
      </c>
      <c r="C136" s="10" t="s">
        <v>299</v>
      </c>
      <c r="D136" s="10" t="s">
        <v>167</v>
      </c>
      <c r="E136" s="10" t="s">
        <v>300</v>
      </c>
      <c r="F136" s="10" t="s">
        <v>301</v>
      </c>
      <c r="G136" s="12" t="n">
        <v>46658</v>
      </c>
      <c r="H136" s="10" t="s">
        <v>19</v>
      </c>
      <c r="I136" s="10" t="n">
        <v>17</v>
      </c>
      <c r="J136" s="10" t="s">
        <v>6</v>
      </c>
      <c r="K136" s="12"/>
      <c r="L136" s="13" t="str">
        <f aca="false">IF(K136="","",K136-Resumo!$B$3)</f>
        <v/>
      </c>
      <c r="M136" s="10" t="s">
        <v>79</v>
      </c>
      <c r="N136" s="10" t="s">
        <v>147</v>
      </c>
      <c r="O136" s="14"/>
      <c r="P136" s="14" t="s">
        <v>22</v>
      </c>
      <c r="Q136" s="15"/>
      <c r="R136" s="14"/>
    </row>
    <row r="137" customFormat="false" ht="32.8" hidden="false" customHeight="false" outlineLevel="0" collapsed="false">
      <c r="A137" s="10" t="n">
        <v>136</v>
      </c>
      <c r="B137" s="11" t="s">
        <v>55</v>
      </c>
      <c r="C137" s="10" t="s">
        <v>303</v>
      </c>
      <c r="D137" s="10" t="s">
        <v>304</v>
      </c>
      <c r="E137" s="10" t="s">
        <v>305</v>
      </c>
      <c r="F137" s="10" t="s">
        <v>306</v>
      </c>
      <c r="G137" s="12" t="n">
        <v>47016</v>
      </c>
      <c r="H137" s="10" t="s">
        <v>14</v>
      </c>
      <c r="I137" s="10" t="n">
        <v>5</v>
      </c>
      <c r="J137" s="10" t="s">
        <v>56</v>
      </c>
      <c r="K137" s="12" t="n">
        <v>46113</v>
      </c>
      <c r="L137" s="13" t="n">
        <f aca="false">IF(K137="","",K137-Resumo!$B$3)</f>
        <v>-205</v>
      </c>
      <c r="M137" s="10" t="s">
        <v>307</v>
      </c>
      <c r="N137" s="10" t="s">
        <v>54</v>
      </c>
      <c r="O137" s="14"/>
      <c r="P137" s="14" t="s">
        <v>22</v>
      </c>
      <c r="Q137" s="15"/>
      <c r="R137" s="14"/>
    </row>
    <row r="138" customFormat="false" ht="22.35" hidden="false" customHeight="false" outlineLevel="0" collapsed="false">
      <c r="A138" s="10" t="n">
        <v>137</v>
      </c>
      <c r="B138" s="11" t="s">
        <v>55</v>
      </c>
      <c r="C138" s="10" t="s">
        <v>303</v>
      </c>
      <c r="D138" s="10" t="s">
        <v>304</v>
      </c>
      <c r="E138" s="10" t="s">
        <v>305</v>
      </c>
      <c r="F138" s="10" t="s">
        <v>306</v>
      </c>
      <c r="G138" s="12" t="n">
        <v>47016</v>
      </c>
      <c r="H138" s="10" t="s">
        <v>15</v>
      </c>
      <c r="I138" s="10" t="n">
        <v>16</v>
      </c>
      <c r="J138" s="10" t="s">
        <v>56</v>
      </c>
      <c r="K138" s="12" t="n">
        <v>45519</v>
      </c>
      <c r="L138" s="13" t="n">
        <f aca="false">IF(K138="","",K138-Resumo!$B$3)</f>
        <v>-799</v>
      </c>
      <c r="M138" s="10" t="s">
        <v>308</v>
      </c>
      <c r="N138" s="10" t="s">
        <v>58</v>
      </c>
      <c r="O138" s="14"/>
      <c r="P138" s="14" t="s">
        <v>22</v>
      </c>
      <c r="Q138" s="15"/>
      <c r="R138" s="14"/>
    </row>
    <row r="139" customFormat="false" ht="22.35" hidden="false" customHeight="false" outlineLevel="0" collapsed="false">
      <c r="A139" s="10" t="n">
        <v>138</v>
      </c>
      <c r="B139" s="11" t="s">
        <v>45</v>
      </c>
      <c r="C139" s="10" t="s">
        <v>303</v>
      </c>
      <c r="D139" s="10" t="s">
        <v>304</v>
      </c>
      <c r="E139" s="10" t="s">
        <v>305</v>
      </c>
      <c r="F139" s="10" t="s">
        <v>306</v>
      </c>
      <c r="G139" s="12" t="n">
        <v>47016</v>
      </c>
      <c r="H139" s="10" t="s">
        <v>16</v>
      </c>
      <c r="I139" s="10" t="n">
        <v>15</v>
      </c>
      <c r="J139" s="10" t="s">
        <v>50</v>
      </c>
      <c r="K139" s="12" t="n">
        <v>46339</v>
      </c>
      <c r="L139" s="13" t="n">
        <f aca="false">IF(K139="","",K139-Resumo!$B$3)</f>
        <v>21</v>
      </c>
      <c r="M139" s="10" t="s">
        <v>309</v>
      </c>
      <c r="N139" s="10" t="s">
        <v>90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55</v>
      </c>
      <c r="C140" s="10" t="s">
        <v>310</v>
      </c>
      <c r="D140" s="10" t="s">
        <v>311</v>
      </c>
      <c r="E140" s="10" t="s">
        <v>312</v>
      </c>
      <c r="F140" s="10" t="s">
        <v>313</v>
      </c>
      <c r="G140" s="12" t="n">
        <v>46332</v>
      </c>
      <c r="H140" s="10" t="s">
        <v>9</v>
      </c>
      <c r="I140" s="10" t="n">
        <v>19</v>
      </c>
      <c r="J140" s="10" t="s">
        <v>56</v>
      </c>
      <c r="K140" s="12" t="n">
        <v>46212</v>
      </c>
      <c r="L140" s="13" t="n">
        <f aca="false">IF(K140="","",K140-Resumo!$B$3)</f>
        <v>-106</v>
      </c>
      <c r="M140" s="10" t="s">
        <v>314</v>
      </c>
      <c r="N140" s="10" t="s">
        <v>99</v>
      </c>
      <c r="O140" s="14"/>
      <c r="P140" s="14" t="s">
        <v>22</v>
      </c>
      <c r="Q140" s="15"/>
      <c r="R140" s="14"/>
    </row>
    <row r="141" customFormat="false" ht="22.35" hidden="false" customHeight="false" outlineLevel="0" collapsed="false">
      <c r="A141" s="10" t="n">
        <v>140</v>
      </c>
      <c r="B141" s="11" t="s">
        <v>80</v>
      </c>
      <c r="C141" s="10" t="s">
        <v>310</v>
      </c>
      <c r="D141" s="10" t="s">
        <v>311</v>
      </c>
      <c r="E141" s="10" t="s">
        <v>312</v>
      </c>
      <c r="F141" s="10" t="s">
        <v>313</v>
      </c>
      <c r="G141" s="12" t="n">
        <v>46332</v>
      </c>
      <c r="H141" s="10" t="s">
        <v>11</v>
      </c>
      <c r="I141" s="10" t="n">
        <v>18</v>
      </c>
      <c r="J141" s="10" t="s">
        <v>56</v>
      </c>
      <c r="K141" s="12" t="n">
        <v>46248</v>
      </c>
      <c r="L141" s="13" t="n">
        <f aca="false">IF(K141="","",K141-Resumo!$B$3)</f>
        <v>-70</v>
      </c>
      <c r="M141" s="10" t="s">
        <v>85</v>
      </c>
      <c r="N141" s="10" t="s">
        <v>86</v>
      </c>
      <c r="O141" s="14"/>
      <c r="P141" s="14" t="s">
        <v>22</v>
      </c>
      <c r="Q141" s="15"/>
      <c r="R141" s="14"/>
    </row>
    <row r="142" customFormat="false" ht="15" hidden="false" customHeight="false" outlineLevel="0" collapsed="false">
      <c r="A142" s="10" t="n">
        <v>141</v>
      </c>
      <c r="B142" s="11" t="s">
        <v>55</v>
      </c>
      <c r="C142" s="10" t="s">
        <v>310</v>
      </c>
      <c r="D142" s="10" t="s">
        <v>311</v>
      </c>
      <c r="E142" s="10" t="s">
        <v>312</v>
      </c>
      <c r="F142" s="10" t="s">
        <v>313</v>
      </c>
      <c r="G142" s="12" t="n">
        <v>46332</v>
      </c>
      <c r="H142" s="10" t="s">
        <v>12</v>
      </c>
      <c r="I142" s="10" t="n">
        <v>16</v>
      </c>
      <c r="J142" s="10" t="s">
        <v>50</v>
      </c>
      <c r="K142" s="12" t="n">
        <v>46328</v>
      </c>
      <c r="L142" s="13" t="n">
        <f aca="false">IF(K142="","",K142-Resumo!$B$3)</f>
        <v>10</v>
      </c>
      <c r="M142" s="10" t="s">
        <v>87</v>
      </c>
      <c r="N142" s="10" t="s">
        <v>88</v>
      </c>
      <c r="O142" s="14"/>
      <c r="P142" s="14" t="s">
        <v>22</v>
      </c>
      <c r="Q142" s="15"/>
      <c r="R142" s="14"/>
    </row>
    <row r="143" customFormat="false" ht="32.8" hidden="false" customHeight="false" outlineLevel="0" collapsed="false">
      <c r="A143" s="10" t="n">
        <v>142</v>
      </c>
      <c r="B143" s="11" t="s">
        <v>55</v>
      </c>
      <c r="C143" s="10" t="s">
        <v>310</v>
      </c>
      <c r="D143" s="10" t="s">
        <v>311</v>
      </c>
      <c r="E143" s="10" t="s">
        <v>312</v>
      </c>
      <c r="F143" s="10" t="s">
        <v>313</v>
      </c>
      <c r="G143" s="12" t="n">
        <v>46332</v>
      </c>
      <c r="H143" s="10" t="s">
        <v>14</v>
      </c>
      <c r="I143" s="10" t="n">
        <v>5</v>
      </c>
      <c r="J143" s="10" t="s">
        <v>56</v>
      </c>
      <c r="K143" s="12" t="n">
        <v>46259</v>
      </c>
      <c r="L143" s="13" t="n">
        <f aca="false">IF(K143="","",K143-Resumo!$B$3)</f>
        <v>-59</v>
      </c>
      <c r="M143" s="10" t="s">
        <v>315</v>
      </c>
      <c r="N143" s="10" t="s">
        <v>54</v>
      </c>
      <c r="O143" s="14"/>
      <c r="P143" s="14" t="s">
        <v>22</v>
      </c>
      <c r="Q143" s="15"/>
      <c r="R143" s="14"/>
    </row>
    <row r="144" customFormat="false" ht="22.35" hidden="false" customHeight="false" outlineLevel="0" collapsed="false">
      <c r="A144" s="10" t="n">
        <v>143</v>
      </c>
      <c r="B144" s="11" t="s">
        <v>55</v>
      </c>
      <c r="C144" s="10" t="s">
        <v>310</v>
      </c>
      <c r="D144" s="10" t="s">
        <v>311</v>
      </c>
      <c r="E144" s="10" t="s">
        <v>312</v>
      </c>
      <c r="F144" s="10" t="s">
        <v>313</v>
      </c>
      <c r="G144" s="12" t="n">
        <v>46332</v>
      </c>
      <c r="H144" s="10" t="s">
        <v>15</v>
      </c>
      <c r="I144" s="10" t="n">
        <v>14</v>
      </c>
      <c r="J144" s="10" t="s">
        <v>56</v>
      </c>
      <c r="K144" s="12" t="n">
        <v>46280</v>
      </c>
      <c r="L144" s="13" t="n">
        <f aca="false">IF(K144="","",K144-Resumo!$B$3)</f>
        <v>-38</v>
      </c>
      <c r="M144" s="10" t="s">
        <v>245</v>
      </c>
      <c r="N144" s="10" t="s">
        <v>58</v>
      </c>
      <c r="O144" s="14"/>
      <c r="P144" s="14" t="s">
        <v>22</v>
      </c>
      <c r="Q144" s="15"/>
      <c r="R144" s="14"/>
    </row>
    <row r="145" customFormat="false" ht="22.35" hidden="false" customHeight="false" outlineLevel="0" collapsed="false">
      <c r="A145" s="10" t="n">
        <v>144</v>
      </c>
      <c r="B145" s="11" t="s">
        <v>45</v>
      </c>
      <c r="C145" s="10" t="s">
        <v>310</v>
      </c>
      <c r="D145" s="10" t="s">
        <v>311</v>
      </c>
      <c r="E145" s="10" t="s">
        <v>312</v>
      </c>
      <c r="F145" s="10" t="s">
        <v>313</v>
      </c>
      <c r="G145" s="12" t="n">
        <v>46332</v>
      </c>
      <c r="H145" s="10" t="s">
        <v>16</v>
      </c>
      <c r="I145" s="10" t="n">
        <v>13</v>
      </c>
      <c r="J145" s="10" t="s">
        <v>6</v>
      </c>
      <c r="K145" s="12"/>
      <c r="L145" s="13" t="str">
        <f aca="false">IF(K145="","",K145-Resumo!$B$3)</f>
        <v/>
      </c>
      <c r="M145" s="10" t="s">
        <v>79</v>
      </c>
      <c r="N145" s="10" t="s">
        <v>90</v>
      </c>
      <c r="O145" s="14"/>
      <c r="P145" s="14" t="s">
        <v>22</v>
      </c>
      <c r="Q145" s="15"/>
      <c r="R145" s="14"/>
    </row>
    <row r="146" customFormat="false" ht="22.35" hidden="false" customHeight="false" outlineLevel="0" collapsed="false">
      <c r="A146" s="10" t="n">
        <v>145</v>
      </c>
      <c r="B146" s="11" t="s">
        <v>80</v>
      </c>
      <c r="C146" s="10" t="s">
        <v>316</v>
      </c>
      <c r="D146" s="10" t="s">
        <v>317</v>
      </c>
      <c r="E146" s="10" t="s">
        <v>318</v>
      </c>
      <c r="F146" s="10" t="s">
        <v>319</v>
      </c>
      <c r="G146" s="12" t="n">
        <v>48215</v>
      </c>
      <c r="H146" s="10" t="s">
        <v>11</v>
      </c>
      <c r="I146" s="10" t="n">
        <v>20</v>
      </c>
      <c r="J146" s="10" t="s">
        <v>56</v>
      </c>
      <c r="K146" s="12" t="n">
        <v>46034</v>
      </c>
      <c r="L146" s="13" t="n">
        <f aca="false">IF(K146="","",K146-Resumo!$B$3)</f>
        <v>-284</v>
      </c>
      <c r="M146" s="10" t="s">
        <v>85</v>
      </c>
      <c r="N146" s="10" t="s">
        <v>86</v>
      </c>
      <c r="O146" s="14"/>
      <c r="P146" s="14" t="s">
        <v>22</v>
      </c>
      <c r="Q146" s="15"/>
      <c r="R146" s="14"/>
    </row>
    <row r="147" customFormat="false" ht="15" hidden="false" customHeight="false" outlineLevel="0" collapsed="false">
      <c r="A147" s="10" t="n">
        <v>146</v>
      </c>
      <c r="B147" s="11" t="s">
        <v>80</v>
      </c>
      <c r="C147" s="10" t="s">
        <v>316</v>
      </c>
      <c r="D147" s="10" t="s">
        <v>317</v>
      </c>
      <c r="E147" s="10" t="s">
        <v>318</v>
      </c>
      <c r="F147" s="10" t="s">
        <v>319</v>
      </c>
      <c r="G147" s="12" t="n">
        <v>48215</v>
      </c>
      <c r="H147" s="10" t="s">
        <v>12</v>
      </c>
      <c r="I147" s="10" t="n">
        <v>18</v>
      </c>
      <c r="J147" s="10" t="s">
        <v>56</v>
      </c>
      <c r="K147" s="12" t="n">
        <v>46114</v>
      </c>
      <c r="L147" s="13" t="n">
        <f aca="false">IF(K147="","",K147-Resumo!$B$3)</f>
        <v>-204</v>
      </c>
      <c r="M147" s="10" t="s">
        <v>87</v>
      </c>
      <c r="N147" s="10" t="s">
        <v>88</v>
      </c>
      <c r="O147" s="14"/>
      <c r="P147" s="14" t="s">
        <v>22</v>
      </c>
      <c r="Q147" s="15"/>
      <c r="R147" s="14"/>
    </row>
    <row r="148" customFormat="false" ht="32.8" hidden="false" customHeight="false" outlineLevel="0" collapsed="false">
      <c r="A148" s="10" t="n">
        <v>147</v>
      </c>
      <c r="B148" s="11" t="s">
        <v>55</v>
      </c>
      <c r="C148" s="10" t="s">
        <v>316</v>
      </c>
      <c r="D148" s="10" t="s">
        <v>317</v>
      </c>
      <c r="E148" s="10" t="s">
        <v>318</v>
      </c>
      <c r="F148" s="10" t="s">
        <v>319</v>
      </c>
      <c r="G148" s="12" t="n">
        <v>48215</v>
      </c>
      <c r="H148" s="10" t="s">
        <v>14</v>
      </c>
      <c r="I148" s="10" t="n">
        <v>5</v>
      </c>
      <c r="J148" s="10" t="s">
        <v>56</v>
      </c>
      <c r="K148" s="12" t="n">
        <v>46276</v>
      </c>
      <c r="L148" s="13" t="n">
        <f aca="false">IF(K148="","",K148-Resumo!$B$3)</f>
        <v>-42</v>
      </c>
      <c r="M148" s="10" t="s">
        <v>320</v>
      </c>
      <c r="N148" s="10" t="s">
        <v>54</v>
      </c>
      <c r="O148" s="14"/>
      <c r="P148" s="14" t="s">
        <v>22</v>
      </c>
      <c r="Q148" s="15"/>
      <c r="R148" s="14"/>
    </row>
    <row r="149" customFormat="false" ht="22.35" hidden="false" customHeight="false" outlineLevel="0" collapsed="false">
      <c r="A149" s="10" t="n">
        <v>148</v>
      </c>
      <c r="B149" s="11" t="s">
        <v>45</v>
      </c>
      <c r="C149" s="10" t="s">
        <v>316</v>
      </c>
      <c r="D149" s="10" t="s">
        <v>317</v>
      </c>
      <c r="E149" s="10" t="s">
        <v>318</v>
      </c>
      <c r="F149" s="10" t="s">
        <v>319</v>
      </c>
      <c r="G149" s="12" t="n">
        <v>48215</v>
      </c>
      <c r="H149" s="10" t="s">
        <v>15</v>
      </c>
      <c r="I149" s="10" t="n">
        <v>15</v>
      </c>
      <c r="J149" s="10" t="s">
        <v>6</v>
      </c>
      <c r="K149" s="12"/>
      <c r="L149" s="13" t="str">
        <f aca="false">IF(K149="","",K149-Resumo!$B$3)</f>
        <v/>
      </c>
      <c r="M149" s="10" t="s">
        <v>79</v>
      </c>
      <c r="N149" s="10" t="s">
        <v>58</v>
      </c>
      <c r="O149" s="14"/>
      <c r="P149" s="14" t="s">
        <v>22</v>
      </c>
      <c r="Q149" s="15"/>
      <c r="R149" s="14"/>
    </row>
    <row r="150" customFormat="false" ht="22.35" hidden="false" customHeight="false" outlineLevel="0" collapsed="false">
      <c r="A150" s="10" t="n">
        <v>149</v>
      </c>
      <c r="B150" s="11" t="s">
        <v>45</v>
      </c>
      <c r="C150" s="10" t="s">
        <v>316</v>
      </c>
      <c r="D150" s="10" t="s">
        <v>317</v>
      </c>
      <c r="E150" s="10" t="s">
        <v>318</v>
      </c>
      <c r="F150" s="10" t="s">
        <v>319</v>
      </c>
      <c r="G150" s="12" t="n">
        <v>48215</v>
      </c>
      <c r="H150" s="10" t="s">
        <v>16</v>
      </c>
      <c r="I150" s="10" t="n">
        <v>14</v>
      </c>
      <c r="J150" s="10" t="s">
        <v>6</v>
      </c>
      <c r="K150" s="12"/>
      <c r="L150" s="13" t="str">
        <f aca="false">IF(K150="","",K150-Resumo!$B$3)</f>
        <v/>
      </c>
      <c r="M150" s="10" t="s">
        <v>79</v>
      </c>
      <c r="N150" s="10" t="s">
        <v>90</v>
      </c>
      <c r="O150" s="14"/>
      <c r="P150" s="14" t="s">
        <v>22</v>
      </c>
      <c r="Q150" s="15"/>
      <c r="R150" s="14"/>
    </row>
    <row r="151" customFormat="false" ht="22.35" hidden="false" customHeight="false" outlineLevel="0" collapsed="false">
      <c r="A151" s="10" t="n">
        <v>150</v>
      </c>
      <c r="B151" s="11" t="s">
        <v>45</v>
      </c>
      <c r="C151" s="10" t="s">
        <v>316</v>
      </c>
      <c r="D151" s="10" t="s">
        <v>317</v>
      </c>
      <c r="E151" s="10" t="s">
        <v>318</v>
      </c>
      <c r="F151" s="10" t="s">
        <v>319</v>
      </c>
      <c r="G151" s="12" t="n">
        <v>48215</v>
      </c>
      <c r="H151" s="10" t="s">
        <v>17</v>
      </c>
      <c r="I151" s="10" t="n">
        <v>14</v>
      </c>
      <c r="J151" s="10" t="s">
        <v>6</v>
      </c>
      <c r="K151" s="12"/>
      <c r="L151" s="13" t="str">
        <f aca="false">IF(K151="","",K151-Resumo!$B$3)</f>
        <v/>
      </c>
      <c r="M151" s="10" t="s">
        <v>79</v>
      </c>
      <c r="N151" s="10" t="s">
        <v>92</v>
      </c>
      <c r="O151" s="14"/>
      <c r="P151" s="14" t="s">
        <v>22</v>
      </c>
      <c r="Q151" s="15"/>
      <c r="R151" s="14"/>
    </row>
    <row r="152" customFormat="false" ht="22.35" hidden="false" customHeight="false" outlineLevel="0" collapsed="false">
      <c r="A152" s="10" t="n">
        <v>151</v>
      </c>
      <c r="B152" s="11" t="s">
        <v>45</v>
      </c>
      <c r="C152" s="10" t="s">
        <v>316</v>
      </c>
      <c r="D152" s="10" t="s">
        <v>317</v>
      </c>
      <c r="E152" s="10" t="s">
        <v>318</v>
      </c>
      <c r="F152" s="10" t="s">
        <v>319</v>
      </c>
      <c r="G152" s="12" t="n">
        <v>48215</v>
      </c>
      <c r="H152" s="10" t="s">
        <v>18</v>
      </c>
      <c r="I152" s="10" t="n">
        <v>8</v>
      </c>
      <c r="J152" s="10" t="s">
        <v>6</v>
      </c>
      <c r="K152" s="12"/>
      <c r="L152" s="13" t="str">
        <f aca="false">IF(K152="","",K152-Resumo!$B$3)</f>
        <v/>
      </c>
      <c r="M152" s="10" t="s">
        <v>79</v>
      </c>
      <c r="N152" s="10" t="s">
        <v>93</v>
      </c>
      <c r="O152" s="14"/>
      <c r="P152" s="14" t="s">
        <v>22</v>
      </c>
      <c r="Q152" s="15"/>
      <c r="R152" s="14"/>
    </row>
    <row r="153" customFormat="false" ht="22.35" hidden="false" customHeight="false" outlineLevel="0" collapsed="false">
      <c r="A153" s="10" t="n">
        <v>152</v>
      </c>
      <c r="B153" s="11" t="s">
        <v>45</v>
      </c>
      <c r="C153" s="10" t="s">
        <v>321</v>
      </c>
      <c r="D153" s="10" t="s">
        <v>212</v>
      </c>
      <c r="E153" s="10" t="s">
        <v>322</v>
      </c>
      <c r="F153" s="10" t="s">
        <v>323</v>
      </c>
      <c r="G153" s="12" t="n">
        <v>47697</v>
      </c>
      <c r="H153" s="10" t="s">
        <v>10</v>
      </c>
      <c r="I153" s="10"/>
      <c r="J153" s="10" t="s">
        <v>50</v>
      </c>
      <c r="K153" s="12" t="n">
        <v>46344</v>
      </c>
      <c r="L153" s="13" t="n">
        <f aca="false">IF(K153="","",K153-Resumo!$B$3)</f>
        <v>26</v>
      </c>
      <c r="M153" s="10" t="s">
        <v>51</v>
      </c>
      <c r="N153" s="10" t="s">
        <v>52</v>
      </c>
      <c r="O153" s="14"/>
      <c r="P153" s="14" t="s">
        <v>22</v>
      </c>
      <c r="Q153" s="15"/>
      <c r="R153" s="14"/>
    </row>
    <row r="154" customFormat="false" ht="32.8" hidden="false" customHeight="false" outlineLevel="0" collapsed="false">
      <c r="A154" s="10" t="n">
        <v>153</v>
      </c>
      <c r="B154" s="11" t="s">
        <v>55</v>
      </c>
      <c r="C154" s="10" t="s">
        <v>321</v>
      </c>
      <c r="D154" s="10" t="s">
        <v>212</v>
      </c>
      <c r="E154" s="10" t="s">
        <v>322</v>
      </c>
      <c r="F154" s="10" t="s">
        <v>323</v>
      </c>
      <c r="G154" s="12" t="n">
        <v>47697</v>
      </c>
      <c r="H154" s="10" t="s">
        <v>14</v>
      </c>
      <c r="I154" s="10" t="n">
        <v>5</v>
      </c>
      <c r="J154" s="10" t="s">
        <v>56</v>
      </c>
      <c r="K154" s="12" t="n">
        <v>46127</v>
      </c>
      <c r="L154" s="13" t="n">
        <f aca="false">IF(K154="","",K154-Resumo!$B$3)</f>
        <v>-191</v>
      </c>
      <c r="M154" s="10" t="s">
        <v>276</v>
      </c>
      <c r="N154" s="10" t="s">
        <v>54</v>
      </c>
      <c r="O154" s="14"/>
      <c r="P154" s="14" t="s">
        <v>22</v>
      </c>
      <c r="Q154" s="15"/>
      <c r="R154" s="14"/>
    </row>
    <row r="155" customFormat="false" ht="22.35" hidden="false" customHeight="false" outlineLevel="0" collapsed="false">
      <c r="A155" s="10" t="n">
        <v>154</v>
      </c>
      <c r="B155" s="11" t="s">
        <v>55</v>
      </c>
      <c r="C155" s="10" t="s">
        <v>321</v>
      </c>
      <c r="D155" s="10" t="s">
        <v>212</v>
      </c>
      <c r="E155" s="10" t="s">
        <v>322</v>
      </c>
      <c r="F155" s="10" t="s">
        <v>323</v>
      </c>
      <c r="G155" s="12" t="n">
        <v>47697</v>
      </c>
      <c r="H155" s="10" t="s">
        <v>15</v>
      </c>
      <c r="I155" s="10" t="n">
        <v>17</v>
      </c>
      <c r="J155" s="10" t="s">
        <v>56</v>
      </c>
      <c r="K155" s="12" t="n">
        <v>46282</v>
      </c>
      <c r="L155" s="13" t="n">
        <f aca="false">IF(K155="","",K155-Resumo!$B$3)</f>
        <v>-36</v>
      </c>
      <c r="M155" s="10" t="s">
        <v>74</v>
      </c>
      <c r="N155" s="10" t="s">
        <v>58</v>
      </c>
      <c r="O155" s="14"/>
      <c r="P155" s="14" t="s">
        <v>22</v>
      </c>
      <c r="Q155" s="15"/>
      <c r="R155" s="14"/>
    </row>
    <row r="156" customFormat="false" ht="22.35" hidden="false" customHeight="false" outlineLevel="0" collapsed="false">
      <c r="A156" s="10" t="n">
        <v>155</v>
      </c>
      <c r="B156" s="11" t="s">
        <v>55</v>
      </c>
      <c r="C156" s="10" t="s">
        <v>324</v>
      </c>
      <c r="D156" s="10" t="s">
        <v>325</v>
      </c>
      <c r="E156" s="10" t="s">
        <v>326</v>
      </c>
      <c r="F156" s="10" t="s">
        <v>327</v>
      </c>
      <c r="G156" s="12" t="n">
        <v>46244</v>
      </c>
      <c r="H156" s="10" t="s">
        <v>9</v>
      </c>
      <c r="I156" s="10" t="n">
        <v>21</v>
      </c>
      <c r="J156" s="10" t="s">
        <v>56</v>
      </c>
      <c r="K156" s="12" t="n">
        <v>46124</v>
      </c>
      <c r="L156" s="13" t="n">
        <f aca="false">IF(K156="","",K156-Resumo!$B$3)</f>
        <v>-194</v>
      </c>
      <c r="M156" s="10" t="s">
        <v>328</v>
      </c>
      <c r="N156" s="10" t="s">
        <v>99</v>
      </c>
      <c r="O156" s="14"/>
      <c r="P156" s="14" t="s">
        <v>22</v>
      </c>
      <c r="Q156" s="15"/>
      <c r="R156" s="14"/>
    </row>
    <row r="157" customFormat="false" ht="32.8" hidden="false" customHeight="false" outlineLevel="0" collapsed="false">
      <c r="A157" s="10" t="n">
        <v>156</v>
      </c>
      <c r="B157" s="11" t="s">
        <v>55</v>
      </c>
      <c r="C157" s="10" t="s">
        <v>324</v>
      </c>
      <c r="D157" s="10" t="s">
        <v>325</v>
      </c>
      <c r="E157" s="10" t="s">
        <v>326</v>
      </c>
      <c r="F157" s="10" t="s">
        <v>327</v>
      </c>
      <c r="G157" s="12" t="n">
        <v>46244</v>
      </c>
      <c r="H157" s="10" t="s">
        <v>14</v>
      </c>
      <c r="I157" s="10" t="n">
        <v>5</v>
      </c>
      <c r="J157" s="10" t="s">
        <v>56</v>
      </c>
      <c r="K157" s="12" t="n">
        <v>46276</v>
      </c>
      <c r="L157" s="13" t="n">
        <f aca="false">IF(K157="","",K157-Resumo!$B$3)</f>
        <v>-42</v>
      </c>
      <c r="M157" s="10" t="s">
        <v>320</v>
      </c>
      <c r="N157" s="10" t="s">
        <v>54</v>
      </c>
      <c r="O157" s="14"/>
      <c r="P157" s="14" t="s">
        <v>22</v>
      </c>
      <c r="Q157" s="15"/>
      <c r="R157" s="14"/>
    </row>
    <row r="158" customFormat="false" ht="22.35" hidden="false" customHeight="false" outlineLevel="0" collapsed="false">
      <c r="A158" s="10" t="n">
        <v>157</v>
      </c>
      <c r="B158" s="11" t="s">
        <v>45</v>
      </c>
      <c r="C158" s="10" t="s">
        <v>324</v>
      </c>
      <c r="D158" s="10" t="s">
        <v>325</v>
      </c>
      <c r="E158" s="10" t="s">
        <v>326</v>
      </c>
      <c r="F158" s="10" t="s">
        <v>327</v>
      </c>
      <c r="G158" s="12" t="n">
        <v>46244</v>
      </c>
      <c r="H158" s="10" t="s">
        <v>15</v>
      </c>
      <c r="I158" s="10" t="n">
        <v>15</v>
      </c>
      <c r="J158" s="10" t="s">
        <v>6</v>
      </c>
      <c r="K158" s="12"/>
      <c r="L158" s="13" t="str">
        <f aca="false">IF(K158="","",K158-Resumo!$B$3)</f>
        <v/>
      </c>
      <c r="M158" s="10" t="s">
        <v>79</v>
      </c>
      <c r="N158" s="10" t="s">
        <v>58</v>
      </c>
      <c r="O158" s="14"/>
      <c r="P158" s="14" t="s">
        <v>22</v>
      </c>
      <c r="Q158" s="15"/>
      <c r="R158" s="14"/>
    </row>
  </sheetData>
  <autoFilter ref="A1:R158"/>
  <conditionalFormatting sqref="J2:J158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58">
    <cfRule type="expression" priority="5" aboveAverage="0" equalAverage="0" bottom="0" percent="0" rank="0" text="" dxfId="14">
      <formula>$B2="Alta"</formula>
    </cfRule>
  </conditionalFormatting>
  <conditionalFormatting sqref="P2:P158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58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329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COUNTIFS(Pendências!$C$2:$C$158,$A2,Pendências!$J$2:$J$158,"Vencida")</f>
        <v>1</v>
      </c>
      <c r="C2" s="6" t="n">
        <f aca="false">COUNTIFS(Pendências!$C$2:$C$158,$A2,Pendências!$J$2:$J$158,"Sem data")</f>
        <v>0</v>
      </c>
      <c r="D2" s="6" t="n">
        <f aca="false">COUNTIFS(Pendências!$C$2:$C$158,$A2,Pendências!$J$2:$J$158,"Vence em breve")</f>
        <v>2</v>
      </c>
      <c r="E2" s="7" t="n">
        <f aca="false">SUM(B2:D2)</f>
        <v>3</v>
      </c>
      <c r="F2" s="6" t="n">
        <f aca="false">COUNTIFS(Pendências!$C$2:$C$158,$A2,Pendências!$B$2:$B$158,"Alta")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COUNTIFS(Pendências!$C$2:$C$158,$A3,Pendências!$J$2:$J$158,"Vencida")</f>
        <v>2</v>
      </c>
      <c r="C3" s="6" t="n">
        <f aca="false">COUNTIFS(Pendências!$C$2:$C$158,$A3,Pendências!$J$2:$J$158,"Sem data")</f>
        <v>0</v>
      </c>
      <c r="D3" s="6" t="n">
        <f aca="false">COUNTIFS(Pendências!$C$2:$C$158,$A3,Pendências!$J$2:$J$158,"Vence em breve")</f>
        <v>0</v>
      </c>
      <c r="E3" s="7" t="n">
        <f aca="false">SUM(B3:D3)</f>
        <v>2</v>
      </c>
      <c r="F3" s="6" t="n">
        <f aca="false">COUNTIFS(Pendências!$C$2:$C$158,$A3,Pendências!$B$2:$B$158,"Alta")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COUNTIFS(Pendências!$C$2:$C$158,$A4,Pendências!$J$2:$J$158,"Vencida")</f>
        <v>2</v>
      </c>
      <c r="C4" s="6" t="n">
        <f aca="false">COUNTIFS(Pendências!$C$2:$C$158,$A4,Pendências!$J$2:$J$158,"Sem data")</f>
        <v>0</v>
      </c>
      <c r="D4" s="6" t="n">
        <f aca="false">COUNTIFS(Pendências!$C$2:$C$158,$A4,Pendências!$J$2:$J$158,"Vence em breve")</f>
        <v>0</v>
      </c>
      <c r="E4" s="7" t="n">
        <f aca="false">SUM(B4:D4)</f>
        <v>2</v>
      </c>
      <c r="F4" s="6" t="n">
        <f aca="false">COUNTIFS(Pendências!$C$2:$C$158,$A4,Pendências!$B$2:$B$158,"Alta")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COUNTIFS(Pendências!$C$2:$C$158,$A5,Pendências!$J$2:$J$158,"Vencida")</f>
        <v>2</v>
      </c>
      <c r="C5" s="6" t="n">
        <f aca="false">COUNTIFS(Pendências!$C$2:$C$158,$A5,Pendências!$J$2:$J$158,"Sem data")</f>
        <v>0</v>
      </c>
      <c r="D5" s="6" t="n">
        <f aca="false">COUNTIFS(Pendências!$C$2:$C$158,$A5,Pendências!$J$2:$J$158,"Vence em breve")</f>
        <v>0</v>
      </c>
      <c r="E5" s="7" t="n">
        <f aca="false">SUM(B5:D5)</f>
        <v>2</v>
      </c>
      <c r="F5" s="6" t="n">
        <f aca="false">COUNTIFS(Pendências!$C$2:$C$158,$A5,Pendências!$B$2:$B$158,"Alta")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COUNTIFS(Pendências!$C$2:$C$158,$A6,Pendências!$J$2:$J$158,"Vencida")</f>
        <v>0</v>
      </c>
      <c r="C6" s="6" t="n">
        <f aca="false">COUNTIFS(Pendências!$C$2:$C$158,$A6,Pendências!$J$2:$J$158,"Sem data")</f>
        <v>1</v>
      </c>
      <c r="D6" s="6" t="n">
        <f aca="false">COUNTIFS(Pendências!$C$2:$C$158,$A6,Pendências!$J$2:$J$158,"Vence em breve")</f>
        <v>0</v>
      </c>
      <c r="E6" s="7" t="n">
        <f aca="false">SUM(B6:D6)</f>
        <v>1</v>
      </c>
      <c r="F6" s="6" t="n">
        <f aca="false">COUNTIFS(Pendências!$C$2:$C$158,$A6,Pendências!$B$2:$B$158,"Alta")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COUNTIFS(Pendências!$C$2:$C$158,$A7,Pendências!$J$2:$J$158,"Vencida")</f>
        <v>5</v>
      </c>
      <c r="C7" s="6" t="n">
        <f aca="false">COUNTIFS(Pendências!$C$2:$C$158,$A7,Pendências!$J$2:$J$158,"Sem data")</f>
        <v>2</v>
      </c>
      <c r="D7" s="6" t="n">
        <f aca="false">COUNTIFS(Pendências!$C$2:$C$158,$A7,Pendências!$J$2:$J$158,"Vence em breve")</f>
        <v>0</v>
      </c>
      <c r="E7" s="7" t="n">
        <f aca="false">SUM(B7:D7)</f>
        <v>7</v>
      </c>
      <c r="F7" s="6" t="n">
        <f aca="false">COUNTIFS(Pendências!$C$2:$C$158,$A7,Pendências!$B$2:$B$158,"Alta")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COUNTIFS(Pendências!$C$2:$C$158,$A8,Pendências!$J$2:$J$158,"Vencida")</f>
        <v>5</v>
      </c>
      <c r="C8" s="6" t="n">
        <f aca="false">COUNTIFS(Pendências!$C$2:$C$158,$A8,Pendências!$J$2:$J$158,"Sem data")</f>
        <v>0</v>
      </c>
      <c r="D8" s="6" t="n">
        <f aca="false">COUNTIFS(Pendências!$C$2:$C$158,$A8,Pendências!$J$2:$J$158,"Vence em breve")</f>
        <v>0</v>
      </c>
      <c r="E8" s="7" t="n">
        <f aca="false">SUM(B8:D8)</f>
        <v>5</v>
      </c>
      <c r="F8" s="6" t="n">
        <f aca="false">COUNTIFS(Pendências!$C$2:$C$158,$A8,Pendências!$B$2:$B$158,"Alta")</f>
        <v>3</v>
      </c>
    </row>
    <row r="9" customFormat="false" ht="15" hidden="false" customHeight="false" outlineLevel="0" collapsed="false">
      <c r="A9" s="6" t="s">
        <v>105</v>
      </c>
      <c r="B9" s="6" t="n">
        <f aca="false">COUNTIFS(Pendências!$C$2:$C$158,$A9,Pendências!$J$2:$J$158,"Vencida")</f>
        <v>2</v>
      </c>
      <c r="C9" s="6" t="n">
        <f aca="false">COUNTIFS(Pendências!$C$2:$C$158,$A9,Pendências!$J$2:$J$158,"Sem data")</f>
        <v>2</v>
      </c>
      <c r="D9" s="6" t="n">
        <f aca="false">COUNTIFS(Pendências!$C$2:$C$158,$A9,Pendências!$J$2:$J$158,"Vence em breve")</f>
        <v>0</v>
      </c>
      <c r="E9" s="7" t="n">
        <f aca="false">SUM(B9:D9)</f>
        <v>4</v>
      </c>
      <c r="F9" s="6" t="n">
        <f aca="false">COUNTIFS(Pendências!$C$2:$C$158,$A9,Pendências!$B$2:$B$158,"Alta")</f>
        <v>1</v>
      </c>
    </row>
    <row r="10" customFormat="false" ht="15" hidden="false" customHeight="false" outlineLevel="0" collapsed="false">
      <c r="A10" s="6" t="s">
        <v>110</v>
      </c>
      <c r="B10" s="6" t="n">
        <f aca="false">COUNTIFS(Pendências!$C$2:$C$158,$A10,Pendências!$J$2:$J$158,"Vencida")</f>
        <v>0</v>
      </c>
      <c r="C10" s="6" t="n">
        <f aca="false">COUNTIFS(Pendências!$C$2:$C$158,$A10,Pendências!$J$2:$J$158,"Sem data")</f>
        <v>1</v>
      </c>
      <c r="D10" s="6" t="n">
        <f aca="false">COUNTIFS(Pendências!$C$2:$C$158,$A10,Pendências!$J$2:$J$158,"Vence em breve")</f>
        <v>0</v>
      </c>
      <c r="E10" s="7" t="n">
        <f aca="false">SUM(B10:D10)</f>
        <v>1</v>
      </c>
      <c r="F10" s="6" t="n">
        <f aca="false">COUNTIFS(Pendências!$C$2:$C$158,$A10,Pendências!$B$2:$B$158,"Alta")</f>
        <v>0</v>
      </c>
    </row>
    <row r="11" customFormat="false" ht="15" hidden="false" customHeight="false" outlineLevel="0" collapsed="false">
      <c r="A11" s="6" t="s">
        <v>114</v>
      </c>
      <c r="B11" s="6" t="n">
        <f aca="false">COUNTIFS(Pendências!$C$2:$C$158,$A11,Pendências!$J$2:$J$158,"Vencida")</f>
        <v>1</v>
      </c>
      <c r="C11" s="6" t="n">
        <f aca="false">COUNTIFS(Pendências!$C$2:$C$158,$A11,Pendências!$J$2:$J$158,"Sem data")</f>
        <v>2</v>
      </c>
      <c r="D11" s="6" t="n">
        <f aca="false">COUNTIFS(Pendências!$C$2:$C$158,$A11,Pendências!$J$2:$J$158,"Vence em breve")</f>
        <v>1</v>
      </c>
      <c r="E11" s="7" t="n">
        <f aca="false">SUM(B11:D11)</f>
        <v>4</v>
      </c>
      <c r="F11" s="6" t="n">
        <f aca="false">COUNTIFS(Pendências!$C$2:$C$158,$A11,Pendências!$B$2:$B$158,"Alta")</f>
        <v>1</v>
      </c>
    </row>
    <row r="12" customFormat="false" ht="15" hidden="false" customHeight="false" outlineLevel="0" collapsed="false">
      <c r="A12" s="6" t="s">
        <v>120</v>
      </c>
      <c r="B12" s="6" t="n">
        <f aca="false">COUNTIFS(Pendências!$C$2:$C$158,$A12,Pendências!$J$2:$J$158,"Vencida")</f>
        <v>0</v>
      </c>
      <c r="C12" s="6" t="n">
        <f aca="false">COUNTIFS(Pendências!$C$2:$C$158,$A12,Pendências!$J$2:$J$158,"Sem data")</f>
        <v>2</v>
      </c>
      <c r="D12" s="6" t="n">
        <f aca="false">COUNTIFS(Pendências!$C$2:$C$158,$A12,Pendências!$J$2:$J$158,"Vence em breve")</f>
        <v>0</v>
      </c>
      <c r="E12" s="7" t="n">
        <f aca="false">SUM(B12:D12)</f>
        <v>2</v>
      </c>
      <c r="F12" s="6" t="n">
        <f aca="false">COUNTIFS(Pendências!$C$2:$C$158,$A12,Pendências!$B$2:$B$158,"Alta")</f>
        <v>0</v>
      </c>
    </row>
    <row r="13" customFormat="false" ht="15" hidden="false" customHeight="false" outlineLevel="0" collapsed="false">
      <c r="A13" s="6" t="s">
        <v>124</v>
      </c>
      <c r="B13" s="6" t="n">
        <f aca="false">COUNTIFS(Pendências!$C$2:$C$158,$A13,Pendências!$J$2:$J$158,"Vencida")</f>
        <v>3</v>
      </c>
      <c r="C13" s="6" t="n">
        <f aca="false">COUNTIFS(Pendências!$C$2:$C$158,$A13,Pendências!$J$2:$J$158,"Sem data")</f>
        <v>3</v>
      </c>
      <c r="D13" s="6" t="n">
        <f aca="false">COUNTIFS(Pendências!$C$2:$C$158,$A13,Pendências!$J$2:$J$158,"Vence em breve")</f>
        <v>0</v>
      </c>
      <c r="E13" s="7" t="n">
        <f aca="false">SUM(B13:D13)</f>
        <v>6</v>
      </c>
      <c r="F13" s="6" t="n">
        <f aca="false">COUNTIFS(Pendências!$C$2:$C$158,$A13,Pendências!$B$2:$B$158,"Alta")</f>
        <v>1</v>
      </c>
    </row>
    <row r="14" customFormat="false" ht="15" hidden="false" customHeight="false" outlineLevel="0" collapsed="false">
      <c r="A14" s="6" t="s">
        <v>128</v>
      </c>
      <c r="B14" s="6" t="n">
        <f aca="false">COUNTIFS(Pendências!$C$2:$C$158,$A14,Pendências!$J$2:$J$158,"Vencida")</f>
        <v>1</v>
      </c>
      <c r="C14" s="6" t="n">
        <f aca="false">COUNTIFS(Pendências!$C$2:$C$158,$A14,Pendências!$J$2:$J$158,"Sem data")</f>
        <v>0</v>
      </c>
      <c r="D14" s="6" t="n">
        <f aca="false">COUNTIFS(Pendências!$C$2:$C$158,$A14,Pendências!$J$2:$J$158,"Vence em breve")</f>
        <v>0</v>
      </c>
      <c r="E14" s="7" t="n">
        <f aca="false">SUM(B14:D14)</f>
        <v>1</v>
      </c>
      <c r="F14" s="6" t="n">
        <f aca="false">COUNTIFS(Pendências!$C$2:$C$158,$A14,Pendências!$B$2:$B$158,"Alta")</f>
        <v>1</v>
      </c>
    </row>
    <row r="15" customFormat="false" ht="15" hidden="false" customHeight="false" outlineLevel="0" collapsed="false">
      <c r="A15" s="6" t="s">
        <v>132</v>
      </c>
      <c r="B15" s="6" t="n">
        <f aca="false">COUNTIFS(Pendências!$C$2:$C$158,$A15,Pendências!$J$2:$J$158,"Vencida")</f>
        <v>2</v>
      </c>
      <c r="C15" s="6" t="n">
        <f aca="false">COUNTIFS(Pendências!$C$2:$C$158,$A15,Pendências!$J$2:$J$158,"Sem data")</f>
        <v>0</v>
      </c>
      <c r="D15" s="6" t="n">
        <f aca="false">COUNTIFS(Pendências!$C$2:$C$158,$A15,Pendências!$J$2:$J$158,"Vence em breve")</f>
        <v>1</v>
      </c>
      <c r="E15" s="7" t="n">
        <f aca="false">SUM(B15:D15)</f>
        <v>3</v>
      </c>
      <c r="F15" s="6" t="n">
        <f aca="false">COUNTIFS(Pendências!$C$2:$C$158,$A15,Pendências!$B$2:$B$158,"Alta")</f>
        <v>1</v>
      </c>
    </row>
    <row r="16" customFormat="false" ht="15" hidden="false" customHeight="false" outlineLevel="0" collapsed="false">
      <c r="A16" s="6" t="s">
        <v>136</v>
      </c>
      <c r="B16" s="6" t="n">
        <f aca="false">COUNTIFS(Pendências!$C$2:$C$158,$A16,Pendências!$J$2:$J$158,"Vencida")</f>
        <v>2</v>
      </c>
      <c r="C16" s="6" t="n">
        <f aca="false">COUNTIFS(Pendências!$C$2:$C$158,$A16,Pendências!$J$2:$J$158,"Sem data")</f>
        <v>0</v>
      </c>
      <c r="D16" s="6" t="n">
        <f aca="false">COUNTIFS(Pendências!$C$2:$C$158,$A16,Pendências!$J$2:$J$158,"Vence em breve")</f>
        <v>0</v>
      </c>
      <c r="E16" s="7" t="n">
        <f aca="false">SUM(B16:D16)</f>
        <v>2</v>
      </c>
      <c r="F16" s="6" t="n">
        <f aca="false">COUNTIFS(Pendências!$C$2:$C$158,$A16,Pendências!$B$2:$B$158,"Alta")</f>
        <v>2</v>
      </c>
    </row>
    <row r="17" customFormat="false" ht="15" hidden="false" customHeight="false" outlineLevel="0" collapsed="false">
      <c r="A17" s="6" t="s">
        <v>141</v>
      </c>
      <c r="B17" s="6" t="n">
        <f aca="false">COUNTIFS(Pendências!$C$2:$C$158,$A17,Pendências!$J$2:$J$158,"Vencida")</f>
        <v>3</v>
      </c>
      <c r="C17" s="6" t="n">
        <f aca="false">COUNTIFS(Pendências!$C$2:$C$158,$A17,Pendências!$J$2:$J$158,"Sem data")</f>
        <v>1</v>
      </c>
      <c r="D17" s="6" t="n">
        <f aca="false">COUNTIFS(Pendências!$C$2:$C$158,$A17,Pendências!$J$2:$J$158,"Vence em breve")</f>
        <v>0</v>
      </c>
      <c r="E17" s="7" t="n">
        <f aca="false">SUM(B17:D17)</f>
        <v>4</v>
      </c>
      <c r="F17" s="6" t="n">
        <f aca="false">COUNTIFS(Pendências!$C$2:$C$158,$A17,Pendências!$B$2:$B$158,"Alta")</f>
        <v>2</v>
      </c>
    </row>
    <row r="18" customFormat="false" ht="15" hidden="false" customHeight="false" outlineLevel="0" collapsed="false">
      <c r="A18" s="6" t="s">
        <v>148</v>
      </c>
      <c r="B18" s="6" t="n">
        <f aca="false">COUNTIFS(Pendências!$C$2:$C$158,$A18,Pendências!$J$2:$J$158,"Vencida")</f>
        <v>1</v>
      </c>
      <c r="C18" s="6" t="n">
        <f aca="false">COUNTIFS(Pendências!$C$2:$C$158,$A18,Pendências!$J$2:$J$158,"Sem data")</f>
        <v>0</v>
      </c>
      <c r="D18" s="6" t="n">
        <f aca="false">COUNTIFS(Pendências!$C$2:$C$158,$A18,Pendências!$J$2:$J$158,"Vence em breve")</f>
        <v>0</v>
      </c>
      <c r="E18" s="7" t="n">
        <f aca="false">SUM(B18:D18)</f>
        <v>1</v>
      </c>
      <c r="F18" s="6" t="n">
        <f aca="false">COUNTIFS(Pendências!$C$2:$C$158,$A18,Pendências!$B$2:$B$158,"Alta")</f>
        <v>1</v>
      </c>
    </row>
    <row r="19" customFormat="false" ht="15" hidden="false" customHeight="false" outlineLevel="0" collapsed="false">
      <c r="A19" s="6" t="s">
        <v>152</v>
      </c>
      <c r="B19" s="6" t="n">
        <f aca="false">COUNTIFS(Pendências!$C$2:$C$158,$A19,Pendências!$J$2:$J$158,"Vencida")</f>
        <v>4</v>
      </c>
      <c r="C19" s="6" t="n">
        <f aca="false">COUNTIFS(Pendências!$C$2:$C$158,$A19,Pendências!$J$2:$J$158,"Sem data")</f>
        <v>2</v>
      </c>
      <c r="D19" s="6" t="n">
        <f aca="false">COUNTIFS(Pendências!$C$2:$C$158,$A19,Pendências!$J$2:$J$158,"Vence em breve")</f>
        <v>1</v>
      </c>
      <c r="E19" s="7" t="n">
        <f aca="false">SUM(B19:D19)</f>
        <v>7</v>
      </c>
      <c r="F19" s="6" t="n">
        <f aca="false">COUNTIFS(Pendências!$C$2:$C$158,$A19,Pendências!$B$2:$B$158,"Alta")</f>
        <v>2</v>
      </c>
    </row>
    <row r="20" customFormat="false" ht="15" hidden="false" customHeight="false" outlineLevel="0" collapsed="false">
      <c r="A20" s="6" t="s">
        <v>157</v>
      </c>
      <c r="B20" s="6" t="n">
        <f aca="false">COUNTIFS(Pendências!$C$2:$C$158,$A20,Pendências!$J$2:$J$158,"Vencida")</f>
        <v>2</v>
      </c>
      <c r="C20" s="6" t="n">
        <f aca="false">COUNTIFS(Pendências!$C$2:$C$158,$A20,Pendências!$J$2:$J$158,"Sem data")</f>
        <v>1</v>
      </c>
      <c r="D20" s="6" t="n">
        <f aca="false">COUNTIFS(Pendências!$C$2:$C$158,$A20,Pendências!$J$2:$J$158,"Vence em breve")</f>
        <v>1</v>
      </c>
      <c r="E20" s="7" t="n">
        <f aca="false">SUM(B20:D20)</f>
        <v>4</v>
      </c>
      <c r="F20" s="6" t="n">
        <f aca="false">COUNTIFS(Pendências!$C$2:$C$158,$A20,Pendências!$B$2:$B$158,"Alta")</f>
        <v>1</v>
      </c>
    </row>
    <row r="21" customFormat="false" ht="15" hidden="false" customHeight="false" outlineLevel="0" collapsed="false">
      <c r="A21" s="6" t="s">
        <v>163</v>
      </c>
      <c r="B21" s="6" t="n">
        <f aca="false">COUNTIFS(Pendências!$C$2:$C$158,$A21,Pendências!$J$2:$J$158,"Vencida")</f>
        <v>1</v>
      </c>
      <c r="C21" s="6" t="n">
        <f aca="false">COUNTIFS(Pendências!$C$2:$C$158,$A21,Pendências!$J$2:$J$158,"Sem data")</f>
        <v>0</v>
      </c>
      <c r="D21" s="6" t="n">
        <f aca="false">COUNTIFS(Pendências!$C$2:$C$158,$A21,Pendências!$J$2:$J$158,"Vence em breve")</f>
        <v>0</v>
      </c>
      <c r="E21" s="7" t="n">
        <f aca="false">SUM(B21:D21)</f>
        <v>1</v>
      </c>
      <c r="F21" s="6" t="n">
        <f aca="false">COUNTIFS(Pendências!$C$2:$C$158,$A21,Pendências!$B$2:$B$158,"Alta")</f>
        <v>1</v>
      </c>
    </row>
    <row r="22" customFormat="false" ht="15" hidden="false" customHeight="false" outlineLevel="0" collapsed="false">
      <c r="A22" s="6" t="s">
        <v>166</v>
      </c>
      <c r="B22" s="6" t="n">
        <f aca="false">COUNTIFS(Pendências!$C$2:$C$158,$A22,Pendências!$J$2:$J$158,"Vencida")</f>
        <v>1</v>
      </c>
      <c r="C22" s="6" t="n">
        <f aca="false">COUNTIFS(Pendências!$C$2:$C$158,$A22,Pendências!$J$2:$J$158,"Sem data")</f>
        <v>2</v>
      </c>
      <c r="D22" s="6" t="n">
        <f aca="false">COUNTIFS(Pendências!$C$2:$C$158,$A22,Pendências!$J$2:$J$158,"Vence em breve")</f>
        <v>0</v>
      </c>
      <c r="E22" s="7" t="n">
        <f aca="false">SUM(B22:D22)</f>
        <v>3</v>
      </c>
      <c r="F22" s="6" t="n">
        <f aca="false">COUNTIFS(Pendências!$C$2:$C$158,$A22,Pendências!$B$2:$B$158,"Alta")</f>
        <v>0</v>
      </c>
    </row>
    <row r="23" customFormat="false" ht="15" hidden="false" customHeight="false" outlineLevel="0" collapsed="false">
      <c r="A23" s="6" t="s">
        <v>171</v>
      </c>
      <c r="B23" s="6" t="n">
        <f aca="false">COUNTIFS(Pendências!$C$2:$C$158,$A23,Pendências!$J$2:$J$158,"Vencida")</f>
        <v>2</v>
      </c>
      <c r="C23" s="6" t="n">
        <f aca="false">COUNTIFS(Pendências!$C$2:$C$158,$A23,Pendências!$J$2:$J$158,"Sem data")</f>
        <v>1</v>
      </c>
      <c r="D23" s="6" t="n">
        <f aca="false">COUNTIFS(Pendências!$C$2:$C$158,$A23,Pendências!$J$2:$J$158,"Vence em breve")</f>
        <v>0</v>
      </c>
      <c r="E23" s="7" t="n">
        <f aca="false">SUM(B23:D23)</f>
        <v>3</v>
      </c>
      <c r="F23" s="6" t="n">
        <f aca="false">COUNTIFS(Pendências!$C$2:$C$158,$A23,Pendências!$B$2:$B$158,"Alta")</f>
        <v>2</v>
      </c>
    </row>
    <row r="24" customFormat="false" ht="15" hidden="false" customHeight="false" outlineLevel="0" collapsed="false">
      <c r="A24" s="6" t="s">
        <v>174</v>
      </c>
      <c r="B24" s="6" t="n">
        <f aca="false">COUNTIFS(Pendências!$C$2:$C$158,$A24,Pendências!$J$2:$J$158,"Vencida")</f>
        <v>1</v>
      </c>
      <c r="C24" s="6" t="n">
        <f aca="false">COUNTIFS(Pendências!$C$2:$C$158,$A24,Pendências!$J$2:$J$158,"Sem data")</f>
        <v>1</v>
      </c>
      <c r="D24" s="6" t="n">
        <f aca="false">COUNTIFS(Pendências!$C$2:$C$158,$A24,Pendências!$J$2:$J$158,"Vence em breve")</f>
        <v>0</v>
      </c>
      <c r="E24" s="7" t="n">
        <f aca="false">SUM(B24:D24)</f>
        <v>2</v>
      </c>
      <c r="F24" s="6" t="n">
        <f aca="false">COUNTIFS(Pendências!$C$2:$C$158,$A24,Pendências!$B$2:$B$158,"Alta")</f>
        <v>1</v>
      </c>
    </row>
    <row r="25" customFormat="false" ht="15" hidden="false" customHeight="false" outlineLevel="0" collapsed="false">
      <c r="A25" s="6" t="s">
        <v>178</v>
      </c>
      <c r="B25" s="6" t="n">
        <f aca="false">COUNTIFS(Pendências!$C$2:$C$158,$A25,Pendências!$J$2:$J$158,"Vencida")</f>
        <v>1</v>
      </c>
      <c r="C25" s="6" t="n">
        <f aca="false">COUNTIFS(Pendências!$C$2:$C$158,$A25,Pendências!$J$2:$J$158,"Sem data")</f>
        <v>0</v>
      </c>
      <c r="D25" s="6" t="n">
        <f aca="false">COUNTIFS(Pendências!$C$2:$C$158,$A25,Pendências!$J$2:$J$158,"Vence em breve")</f>
        <v>0</v>
      </c>
      <c r="E25" s="7" t="n">
        <f aca="false">SUM(B25:D25)</f>
        <v>1</v>
      </c>
      <c r="F25" s="6" t="n">
        <f aca="false">COUNTIFS(Pendências!$C$2:$C$158,$A25,Pendências!$B$2:$B$158,"Alta")</f>
        <v>1</v>
      </c>
    </row>
    <row r="26" customFormat="false" ht="15" hidden="false" customHeight="false" outlineLevel="0" collapsed="false">
      <c r="A26" s="6" t="s">
        <v>182</v>
      </c>
      <c r="B26" s="6" t="n">
        <f aca="false">COUNTIFS(Pendências!$C$2:$C$158,$A26,Pendências!$J$2:$J$158,"Vencida")</f>
        <v>1</v>
      </c>
      <c r="C26" s="6" t="n">
        <f aca="false">COUNTIFS(Pendências!$C$2:$C$158,$A26,Pendências!$J$2:$J$158,"Sem data")</f>
        <v>1</v>
      </c>
      <c r="D26" s="6" t="n">
        <f aca="false">COUNTIFS(Pendências!$C$2:$C$158,$A26,Pendências!$J$2:$J$158,"Vence em breve")</f>
        <v>0</v>
      </c>
      <c r="E26" s="7" t="n">
        <f aca="false">SUM(B26:D26)</f>
        <v>2</v>
      </c>
      <c r="F26" s="6" t="n">
        <f aca="false">COUNTIFS(Pendências!$C$2:$C$158,$A26,Pendências!$B$2:$B$158,"Alta")</f>
        <v>1</v>
      </c>
    </row>
    <row r="27" customFormat="false" ht="15" hidden="false" customHeight="false" outlineLevel="0" collapsed="false">
      <c r="A27" s="6" t="s">
        <v>186</v>
      </c>
      <c r="B27" s="6" t="n">
        <f aca="false">COUNTIFS(Pendências!$C$2:$C$158,$A27,Pendências!$J$2:$J$158,"Vencida")</f>
        <v>2</v>
      </c>
      <c r="C27" s="6" t="n">
        <f aca="false">COUNTIFS(Pendências!$C$2:$C$158,$A27,Pendências!$J$2:$J$158,"Sem data")</f>
        <v>0</v>
      </c>
      <c r="D27" s="6" t="n">
        <f aca="false">COUNTIFS(Pendências!$C$2:$C$158,$A27,Pendências!$J$2:$J$158,"Vence em breve")</f>
        <v>0</v>
      </c>
      <c r="E27" s="7" t="n">
        <f aca="false">SUM(B27:D27)</f>
        <v>2</v>
      </c>
      <c r="F27" s="6" t="n">
        <f aca="false">COUNTIFS(Pendências!$C$2:$C$158,$A27,Pendências!$B$2:$B$158,"Alta")</f>
        <v>2</v>
      </c>
    </row>
    <row r="28" customFormat="false" ht="15" hidden="false" customHeight="false" outlineLevel="0" collapsed="false">
      <c r="A28" s="6" t="s">
        <v>191</v>
      </c>
      <c r="B28" s="6" t="n">
        <f aca="false">COUNTIFS(Pendências!$C$2:$C$158,$A28,Pendências!$J$2:$J$158,"Vencida")</f>
        <v>3</v>
      </c>
      <c r="C28" s="6" t="n">
        <f aca="false">COUNTIFS(Pendências!$C$2:$C$158,$A28,Pendências!$J$2:$J$158,"Sem data")</f>
        <v>0</v>
      </c>
      <c r="D28" s="6" t="n">
        <f aca="false">COUNTIFS(Pendências!$C$2:$C$158,$A28,Pendências!$J$2:$J$158,"Vence em breve")</f>
        <v>0</v>
      </c>
      <c r="E28" s="7" t="n">
        <f aca="false">SUM(B28:D28)</f>
        <v>3</v>
      </c>
      <c r="F28" s="6" t="n">
        <f aca="false">COUNTIFS(Pendências!$C$2:$C$158,$A28,Pendências!$B$2:$B$158,"Alta")</f>
        <v>3</v>
      </c>
    </row>
    <row r="29" customFormat="false" ht="15" hidden="false" customHeight="false" outlineLevel="0" collapsed="false">
      <c r="A29" s="6" t="s">
        <v>197</v>
      </c>
      <c r="B29" s="6" t="n">
        <f aca="false">COUNTIFS(Pendências!$C$2:$C$158,$A29,Pendências!$J$2:$J$158,"Vencida")</f>
        <v>2</v>
      </c>
      <c r="C29" s="6" t="n">
        <f aca="false">COUNTIFS(Pendências!$C$2:$C$158,$A29,Pendências!$J$2:$J$158,"Sem data")</f>
        <v>0</v>
      </c>
      <c r="D29" s="6" t="n">
        <f aca="false">COUNTIFS(Pendências!$C$2:$C$158,$A29,Pendências!$J$2:$J$158,"Vence em breve")</f>
        <v>0</v>
      </c>
      <c r="E29" s="7" t="n">
        <f aca="false">SUM(B29:D29)</f>
        <v>2</v>
      </c>
      <c r="F29" s="6" t="n">
        <f aca="false">COUNTIFS(Pendências!$C$2:$C$158,$A29,Pendências!$B$2:$B$158,"Alta")</f>
        <v>2</v>
      </c>
    </row>
    <row r="30" customFormat="false" ht="15" hidden="false" customHeight="false" outlineLevel="0" collapsed="false">
      <c r="A30" s="6" t="s">
        <v>202</v>
      </c>
      <c r="B30" s="6" t="n">
        <f aca="false">COUNTIFS(Pendências!$C$2:$C$158,$A30,Pendências!$J$2:$J$158,"Vencida")</f>
        <v>3</v>
      </c>
      <c r="C30" s="6" t="n">
        <f aca="false">COUNTIFS(Pendências!$C$2:$C$158,$A30,Pendências!$J$2:$J$158,"Sem data")</f>
        <v>0</v>
      </c>
      <c r="D30" s="6" t="n">
        <f aca="false">COUNTIFS(Pendências!$C$2:$C$158,$A30,Pendências!$J$2:$J$158,"Vence em breve")</f>
        <v>0</v>
      </c>
      <c r="E30" s="7" t="n">
        <f aca="false">SUM(B30:D30)</f>
        <v>3</v>
      </c>
      <c r="F30" s="6" t="n">
        <f aca="false">COUNTIFS(Pendências!$C$2:$C$158,$A30,Pendências!$B$2:$B$158,"Alta")</f>
        <v>2</v>
      </c>
    </row>
    <row r="31" customFormat="false" ht="15" hidden="false" customHeight="false" outlineLevel="0" collapsed="false">
      <c r="A31" s="6" t="s">
        <v>207</v>
      </c>
      <c r="B31" s="6" t="n">
        <f aca="false">COUNTIFS(Pendências!$C$2:$C$158,$A31,Pendências!$J$2:$J$158,"Vencida")</f>
        <v>2</v>
      </c>
      <c r="C31" s="6" t="n">
        <f aca="false">COUNTIFS(Pendências!$C$2:$C$158,$A31,Pendências!$J$2:$J$158,"Sem data")</f>
        <v>0</v>
      </c>
      <c r="D31" s="6" t="n">
        <f aca="false">COUNTIFS(Pendências!$C$2:$C$158,$A31,Pendências!$J$2:$J$158,"Vence em breve")</f>
        <v>0</v>
      </c>
      <c r="E31" s="7" t="n">
        <f aca="false">SUM(B31:D31)</f>
        <v>2</v>
      </c>
      <c r="F31" s="6" t="n">
        <f aca="false">COUNTIFS(Pendências!$C$2:$C$158,$A31,Pendências!$B$2:$B$158,"Alta")</f>
        <v>1</v>
      </c>
    </row>
    <row r="32" customFormat="false" ht="15" hidden="false" customHeight="false" outlineLevel="0" collapsed="false">
      <c r="A32" s="6" t="s">
        <v>211</v>
      </c>
      <c r="B32" s="6" t="n">
        <f aca="false">COUNTIFS(Pendências!$C$2:$C$158,$A32,Pendências!$J$2:$J$158,"Vencida")</f>
        <v>5</v>
      </c>
      <c r="C32" s="6" t="n">
        <f aca="false">COUNTIFS(Pendências!$C$2:$C$158,$A32,Pendências!$J$2:$J$158,"Sem data")</f>
        <v>0</v>
      </c>
      <c r="D32" s="6" t="n">
        <f aca="false">COUNTIFS(Pendências!$C$2:$C$158,$A32,Pendências!$J$2:$J$158,"Vence em breve")</f>
        <v>0</v>
      </c>
      <c r="E32" s="7" t="n">
        <f aca="false">SUM(B32:D32)</f>
        <v>5</v>
      </c>
      <c r="F32" s="6" t="n">
        <f aca="false">COUNTIFS(Pendências!$C$2:$C$158,$A32,Pendências!$B$2:$B$158,"Alta")</f>
        <v>3</v>
      </c>
    </row>
    <row r="33" customFormat="false" ht="15" hidden="false" customHeight="false" outlineLevel="0" collapsed="false">
      <c r="A33" s="6" t="s">
        <v>220</v>
      </c>
      <c r="B33" s="6" t="n">
        <f aca="false">COUNTIFS(Pendências!$C$2:$C$158,$A33,Pendências!$J$2:$J$158,"Vencida")</f>
        <v>0</v>
      </c>
      <c r="C33" s="6" t="n">
        <f aca="false">COUNTIFS(Pendências!$C$2:$C$158,$A33,Pendências!$J$2:$J$158,"Sem data")</f>
        <v>1</v>
      </c>
      <c r="D33" s="6" t="n">
        <f aca="false">COUNTIFS(Pendências!$C$2:$C$158,$A33,Pendências!$J$2:$J$158,"Vence em breve")</f>
        <v>0</v>
      </c>
      <c r="E33" s="7" t="n">
        <f aca="false">SUM(B33:D33)</f>
        <v>1</v>
      </c>
      <c r="F33" s="6" t="n">
        <f aca="false">COUNTIFS(Pendências!$C$2:$C$158,$A33,Pendências!$B$2:$B$158,"Alta")</f>
        <v>0</v>
      </c>
    </row>
    <row r="34" customFormat="false" ht="15" hidden="false" customHeight="false" outlineLevel="0" collapsed="false">
      <c r="A34" s="6" t="s">
        <v>224</v>
      </c>
      <c r="B34" s="6" t="n">
        <f aca="false">COUNTIFS(Pendências!$C$2:$C$158,$A34,Pendências!$J$2:$J$158,"Vencida")</f>
        <v>3</v>
      </c>
      <c r="C34" s="6" t="n">
        <f aca="false">COUNTIFS(Pendências!$C$2:$C$158,$A34,Pendências!$J$2:$J$158,"Sem data")</f>
        <v>0</v>
      </c>
      <c r="D34" s="6" t="n">
        <f aca="false">COUNTIFS(Pendências!$C$2:$C$158,$A34,Pendências!$J$2:$J$158,"Vence em breve")</f>
        <v>0</v>
      </c>
      <c r="E34" s="7" t="n">
        <f aca="false">SUM(B34:D34)</f>
        <v>3</v>
      </c>
      <c r="F34" s="6" t="n">
        <f aca="false">COUNTIFS(Pendências!$C$2:$C$158,$A34,Pendências!$B$2:$B$158,"Alta")</f>
        <v>2</v>
      </c>
    </row>
    <row r="35" customFormat="false" ht="15" hidden="false" customHeight="false" outlineLevel="0" collapsed="false">
      <c r="A35" s="6" t="s">
        <v>229</v>
      </c>
      <c r="B35" s="6" t="n">
        <f aca="false">COUNTIFS(Pendências!$C$2:$C$158,$A35,Pendências!$J$2:$J$158,"Vencida")</f>
        <v>3</v>
      </c>
      <c r="C35" s="6" t="n">
        <f aca="false">COUNTIFS(Pendências!$C$2:$C$158,$A35,Pendências!$J$2:$J$158,"Sem data")</f>
        <v>1</v>
      </c>
      <c r="D35" s="6" t="n">
        <f aca="false">COUNTIFS(Pendências!$C$2:$C$158,$A35,Pendências!$J$2:$J$158,"Vence em breve")</f>
        <v>0</v>
      </c>
      <c r="E35" s="7" t="n">
        <f aca="false">SUM(B35:D35)</f>
        <v>4</v>
      </c>
      <c r="F35" s="6" t="n">
        <f aca="false">COUNTIFS(Pendências!$C$2:$C$158,$A35,Pendências!$B$2:$B$158,"Alta")</f>
        <v>2</v>
      </c>
    </row>
    <row r="36" customFormat="false" ht="15" hidden="false" customHeight="false" outlineLevel="0" collapsed="false">
      <c r="A36" s="6" t="s">
        <v>236</v>
      </c>
      <c r="B36" s="6" t="n">
        <f aca="false">COUNTIFS(Pendências!$C$2:$C$158,$A36,Pendências!$J$2:$J$158,"Vencida")</f>
        <v>1</v>
      </c>
      <c r="C36" s="6" t="n">
        <f aca="false">COUNTIFS(Pendências!$C$2:$C$158,$A36,Pendências!$J$2:$J$158,"Sem data")</f>
        <v>1</v>
      </c>
      <c r="D36" s="6" t="n">
        <f aca="false">COUNTIFS(Pendências!$C$2:$C$158,$A36,Pendências!$J$2:$J$158,"Vence em breve")</f>
        <v>1</v>
      </c>
      <c r="E36" s="7" t="n">
        <f aca="false">SUM(B36:D36)</f>
        <v>3</v>
      </c>
      <c r="F36" s="6" t="n">
        <f aca="false">COUNTIFS(Pendências!$C$2:$C$158,$A36,Pendências!$B$2:$B$158,"Alta")</f>
        <v>2</v>
      </c>
    </row>
    <row r="37" customFormat="false" ht="15" hidden="false" customHeight="false" outlineLevel="0" collapsed="false">
      <c r="A37" s="6" t="s">
        <v>241</v>
      </c>
      <c r="B37" s="6" t="n">
        <f aca="false">COUNTIFS(Pendências!$C$2:$C$158,$A37,Pendências!$J$2:$J$158,"Vencida")</f>
        <v>1</v>
      </c>
      <c r="C37" s="6" t="n">
        <f aca="false">COUNTIFS(Pendências!$C$2:$C$158,$A37,Pendências!$J$2:$J$158,"Sem data")</f>
        <v>0</v>
      </c>
      <c r="D37" s="6" t="n">
        <f aca="false">COUNTIFS(Pendências!$C$2:$C$158,$A37,Pendências!$J$2:$J$158,"Vence em breve")</f>
        <v>1</v>
      </c>
      <c r="E37" s="7" t="n">
        <f aca="false">SUM(B37:D37)</f>
        <v>2</v>
      </c>
      <c r="F37" s="6" t="n">
        <f aca="false">COUNTIFS(Pendências!$C$2:$C$158,$A37,Pendências!$B$2:$B$158,"Alta")</f>
        <v>1</v>
      </c>
    </row>
    <row r="38" customFormat="false" ht="15" hidden="false" customHeight="false" outlineLevel="0" collapsed="false">
      <c r="A38" s="6" t="s">
        <v>247</v>
      </c>
      <c r="B38" s="6" t="n">
        <f aca="false">COUNTIFS(Pendências!$C$2:$C$158,$A38,Pendências!$J$2:$J$158,"Vencida")</f>
        <v>4</v>
      </c>
      <c r="C38" s="6" t="n">
        <f aca="false">COUNTIFS(Pendências!$C$2:$C$158,$A38,Pendências!$J$2:$J$158,"Sem data")</f>
        <v>0</v>
      </c>
      <c r="D38" s="6" t="n">
        <f aca="false">COUNTIFS(Pendências!$C$2:$C$158,$A38,Pendências!$J$2:$J$158,"Vence em breve")</f>
        <v>0</v>
      </c>
      <c r="E38" s="7" t="n">
        <f aca="false">SUM(B38:D38)</f>
        <v>4</v>
      </c>
      <c r="F38" s="6" t="n">
        <f aca="false">COUNTIFS(Pendências!$C$2:$C$158,$A38,Pendências!$B$2:$B$158,"Alta")</f>
        <v>3</v>
      </c>
    </row>
    <row r="39" customFormat="false" ht="15" hidden="false" customHeight="false" outlineLevel="0" collapsed="false">
      <c r="A39" s="6" t="s">
        <v>253</v>
      </c>
      <c r="B39" s="6" t="n">
        <f aca="false">COUNTIFS(Pendências!$C$2:$C$158,$A39,Pendências!$J$2:$J$158,"Vencida")</f>
        <v>1</v>
      </c>
      <c r="C39" s="6" t="n">
        <f aca="false">COUNTIFS(Pendências!$C$2:$C$158,$A39,Pendências!$J$2:$J$158,"Sem data")</f>
        <v>0</v>
      </c>
      <c r="D39" s="6" t="n">
        <f aca="false">COUNTIFS(Pendências!$C$2:$C$158,$A39,Pendências!$J$2:$J$158,"Vence em breve")</f>
        <v>0</v>
      </c>
      <c r="E39" s="7" t="n">
        <f aca="false">SUM(B39:D39)</f>
        <v>1</v>
      </c>
      <c r="F39" s="6" t="n">
        <f aca="false">COUNTIFS(Pendências!$C$2:$C$158,$A39,Pendências!$B$2:$B$158,"Alta")</f>
        <v>1</v>
      </c>
    </row>
    <row r="40" customFormat="false" ht="15" hidden="false" customHeight="false" outlineLevel="0" collapsed="false">
      <c r="A40" s="6" t="s">
        <v>256</v>
      </c>
      <c r="B40" s="6" t="n">
        <f aca="false">COUNTIFS(Pendências!$C$2:$C$158,$A40,Pendências!$J$2:$J$158,"Vencida")</f>
        <v>2</v>
      </c>
      <c r="C40" s="6" t="n">
        <f aca="false">COUNTIFS(Pendências!$C$2:$C$158,$A40,Pendências!$J$2:$J$158,"Sem data")</f>
        <v>0</v>
      </c>
      <c r="D40" s="6" t="n">
        <f aca="false">COUNTIFS(Pendências!$C$2:$C$158,$A40,Pendências!$J$2:$J$158,"Vence em breve")</f>
        <v>1</v>
      </c>
      <c r="E40" s="7" t="n">
        <f aca="false">SUM(B40:D40)</f>
        <v>3</v>
      </c>
      <c r="F40" s="6" t="n">
        <f aca="false">COUNTIFS(Pendências!$C$2:$C$158,$A40,Pendências!$B$2:$B$158,"Alta")</f>
        <v>3</v>
      </c>
    </row>
    <row r="41" customFormat="false" ht="15" hidden="false" customHeight="false" outlineLevel="0" collapsed="false">
      <c r="A41" s="6" t="s">
        <v>261</v>
      </c>
      <c r="B41" s="6" t="n">
        <f aca="false">COUNTIFS(Pendências!$C$2:$C$158,$A41,Pendências!$J$2:$J$158,"Vencida")</f>
        <v>2</v>
      </c>
      <c r="C41" s="6" t="n">
        <f aca="false">COUNTIFS(Pendências!$C$2:$C$158,$A41,Pendências!$J$2:$J$158,"Sem data")</f>
        <v>0</v>
      </c>
      <c r="D41" s="6" t="n">
        <f aca="false">COUNTIFS(Pendências!$C$2:$C$158,$A41,Pendências!$J$2:$J$158,"Vence em breve")</f>
        <v>0</v>
      </c>
      <c r="E41" s="7" t="n">
        <f aca="false">SUM(B41:D41)</f>
        <v>2</v>
      </c>
      <c r="F41" s="6" t="n">
        <f aca="false">COUNTIFS(Pendências!$C$2:$C$158,$A41,Pendências!$B$2:$B$158,"Alta")</f>
        <v>2</v>
      </c>
    </row>
    <row r="42" customFormat="false" ht="15" hidden="false" customHeight="false" outlineLevel="0" collapsed="false">
      <c r="A42" s="6" t="s">
        <v>266</v>
      </c>
      <c r="B42" s="6" t="n">
        <f aca="false">COUNTIFS(Pendências!$C$2:$C$158,$A42,Pendências!$J$2:$J$158,"Vencida")</f>
        <v>4</v>
      </c>
      <c r="C42" s="6" t="n">
        <f aca="false">COUNTIFS(Pendências!$C$2:$C$158,$A42,Pendências!$J$2:$J$158,"Sem data")</f>
        <v>0</v>
      </c>
      <c r="D42" s="6" t="n">
        <f aca="false">COUNTIFS(Pendências!$C$2:$C$158,$A42,Pendências!$J$2:$J$158,"Vence em breve")</f>
        <v>0</v>
      </c>
      <c r="E42" s="7" t="n">
        <f aca="false">SUM(B42:D42)</f>
        <v>4</v>
      </c>
      <c r="F42" s="6" t="n">
        <f aca="false">COUNTIFS(Pendências!$C$2:$C$158,$A42,Pendências!$B$2:$B$158,"Alta")</f>
        <v>3</v>
      </c>
    </row>
    <row r="43" customFormat="false" ht="15" hidden="false" customHeight="false" outlineLevel="0" collapsed="false">
      <c r="A43" s="6" t="s">
        <v>272</v>
      </c>
      <c r="B43" s="6" t="n">
        <f aca="false">COUNTIFS(Pendências!$C$2:$C$158,$A43,Pendências!$J$2:$J$158,"Vencida")</f>
        <v>2</v>
      </c>
      <c r="C43" s="6" t="n">
        <f aca="false">COUNTIFS(Pendências!$C$2:$C$158,$A43,Pendências!$J$2:$J$158,"Sem data")</f>
        <v>0</v>
      </c>
      <c r="D43" s="6" t="n">
        <f aca="false">COUNTIFS(Pendências!$C$2:$C$158,$A43,Pendências!$J$2:$J$158,"Vence em breve")</f>
        <v>0</v>
      </c>
      <c r="E43" s="7" t="n">
        <f aca="false">SUM(B43:D43)</f>
        <v>2</v>
      </c>
      <c r="F43" s="6" t="n">
        <f aca="false">COUNTIFS(Pendências!$C$2:$C$158,$A43,Pendências!$B$2:$B$158,"Alta")</f>
        <v>2</v>
      </c>
    </row>
    <row r="44" customFormat="false" ht="15" hidden="false" customHeight="false" outlineLevel="0" collapsed="false">
      <c r="A44" s="6" t="s">
        <v>277</v>
      </c>
      <c r="B44" s="6" t="n">
        <f aca="false">COUNTIFS(Pendências!$C$2:$C$158,$A44,Pendências!$J$2:$J$158,"Vencida")</f>
        <v>2</v>
      </c>
      <c r="C44" s="6" t="n">
        <f aca="false">COUNTIFS(Pendências!$C$2:$C$158,$A44,Pendências!$J$2:$J$158,"Sem data")</f>
        <v>1</v>
      </c>
      <c r="D44" s="6" t="n">
        <f aca="false">COUNTIFS(Pendências!$C$2:$C$158,$A44,Pendências!$J$2:$J$158,"Vence em breve")</f>
        <v>1</v>
      </c>
      <c r="E44" s="7" t="n">
        <f aca="false">SUM(B44:D44)</f>
        <v>4</v>
      </c>
      <c r="F44" s="6" t="n">
        <f aca="false">COUNTIFS(Pendências!$C$2:$C$158,$A44,Pendências!$B$2:$B$158,"Alta")</f>
        <v>2</v>
      </c>
    </row>
    <row r="45" customFormat="false" ht="15" hidden="false" customHeight="false" outlineLevel="0" collapsed="false">
      <c r="A45" s="6" t="s">
        <v>284</v>
      </c>
      <c r="B45" s="6" t="n">
        <f aca="false">COUNTIFS(Pendências!$C$2:$C$158,$A45,Pendências!$J$2:$J$158,"Vencida")</f>
        <v>3</v>
      </c>
      <c r="C45" s="6" t="n">
        <f aca="false">COUNTIFS(Pendências!$C$2:$C$158,$A45,Pendências!$J$2:$J$158,"Sem data")</f>
        <v>0</v>
      </c>
      <c r="D45" s="6" t="n">
        <f aca="false">COUNTIFS(Pendências!$C$2:$C$158,$A45,Pendências!$J$2:$J$158,"Vence em breve")</f>
        <v>0</v>
      </c>
      <c r="E45" s="7" t="n">
        <f aca="false">SUM(B45:D45)</f>
        <v>3</v>
      </c>
      <c r="F45" s="6" t="n">
        <f aca="false">COUNTIFS(Pendências!$C$2:$C$158,$A45,Pendências!$B$2:$B$158,"Alta")</f>
        <v>3</v>
      </c>
    </row>
    <row r="46" customFormat="false" ht="15" hidden="false" customHeight="false" outlineLevel="0" collapsed="false">
      <c r="A46" s="6" t="s">
        <v>291</v>
      </c>
      <c r="B46" s="6" t="n">
        <f aca="false">COUNTIFS(Pendências!$C$2:$C$158,$A46,Pendências!$J$2:$J$158,"Vencida")</f>
        <v>3</v>
      </c>
      <c r="C46" s="6" t="n">
        <f aca="false">COUNTIFS(Pendências!$C$2:$C$158,$A46,Pendências!$J$2:$J$158,"Sem data")</f>
        <v>0</v>
      </c>
      <c r="D46" s="6" t="n">
        <f aca="false">COUNTIFS(Pendências!$C$2:$C$158,$A46,Pendências!$J$2:$J$158,"Vence em breve")</f>
        <v>0</v>
      </c>
      <c r="E46" s="7" t="n">
        <f aca="false">SUM(B46:D46)</f>
        <v>3</v>
      </c>
      <c r="F46" s="6" t="n">
        <f aca="false">COUNTIFS(Pendências!$C$2:$C$158,$A46,Pendências!$B$2:$B$158,"Alta")</f>
        <v>3</v>
      </c>
    </row>
    <row r="47" customFormat="false" ht="15" hidden="false" customHeight="false" outlineLevel="0" collapsed="false">
      <c r="A47" s="6" t="s">
        <v>295</v>
      </c>
      <c r="B47" s="6" t="n">
        <f aca="false">COUNTIFS(Pendências!$C$2:$C$158,$A47,Pendências!$J$2:$J$158,"Vencida")</f>
        <v>1</v>
      </c>
      <c r="C47" s="6" t="n">
        <f aca="false">COUNTIFS(Pendências!$C$2:$C$158,$A47,Pendências!$J$2:$J$158,"Sem data")</f>
        <v>2</v>
      </c>
      <c r="D47" s="6" t="n">
        <f aca="false">COUNTIFS(Pendências!$C$2:$C$158,$A47,Pendências!$J$2:$J$158,"Vence em breve")</f>
        <v>0</v>
      </c>
      <c r="E47" s="7" t="n">
        <f aca="false">SUM(B47:D47)</f>
        <v>3</v>
      </c>
      <c r="F47" s="6" t="n">
        <f aca="false">COUNTIFS(Pendências!$C$2:$C$158,$A47,Pendências!$B$2:$B$158,"Alta")</f>
        <v>1</v>
      </c>
    </row>
    <row r="48" customFormat="false" ht="15" hidden="false" customHeight="false" outlineLevel="0" collapsed="false">
      <c r="A48" s="6" t="s">
        <v>299</v>
      </c>
      <c r="B48" s="6" t="n">
        <f aca="false">COUNTIFS(Pendências!$C$2:$C$158,$A48,Pendências!$J$2:$J$158,"Vencida")</f>
        <v>2</v>
      </c>
      <c r="C48" s="6" t="n">
        <f aca="false">COUNTIFS(Pendências!$C$2:$C$158,$A48,Pendências!$J$2:$J$158,"Sem data")</f>
        <v>1</v>
      </c>
      <c r="D48" s="6" t="n">
        <f aca="false">COUNTIFS(Pendências!$C$2:$C$158,$A48,Pendências!$J$2:$J$158,"Vence em breve")</f>
        <v>0</v>
      </c>
      <c r="E48" s="7" t="n">
        <f aca="false">SUM(B48:D48)</f>
        <v>3</v>
      </c>
      <c r="F48" s="6" t="n">
        <f aca="false">COUNTIFS(Pendências!$C$2:$C$158,$A48,Pendências!$B$2:$B$158,"Alta")</f>
        <v>2</v>
      </c>
    </row>
    <row r="49" customFormat="false" ht="15" hidden="false" customHeight="false" outlineLevel="0" collapsed="false">
      <c r="A49" s="6" t="s">
        <v>303</v>
      </c>
      <c r="B49" s="6" t="n">
        <f aca="false">COUNTIFS(Pendências!$C$2:$C$158,$A49,Pendências!$J$2:$J$158,"Vencida")</f>
        <v>2</v>
      </c>
      <c r="C49" s="6" t="n">
        <f aca="false">COUNTIFS(Pendências!$C$2:$C$158,$A49,Pendências!$J$2:$J$158,"Sem data")</f>
        <v>0</v>
      </c>
      <c r="D49" s="6" t="n">
        <f aca="false">COUNTIFS(Pendências!$C$2:$C$158,$A49,Pendências!$J$2:$J$158,"Vence em breve")</f>
        <v>1</v>
      </c>
      <c r="E49" s="7" t="n">
        <f aca="false">SUM(B49:D49)</f>
        <v>3</v>
      </c>
      <c r="F49" s="6" t="n">
        <f aca="false">COUNTIFS(Pendências!$C$2:$C$158,$A49,Pendências!$B$2:$B$158,"Alta")</f>
        <v>2</v>
      </c>
    </row>
    <row r="50" customFormat="false" ht="15" hidden="false" customHeight="false" outlineLevel="0" collapsed="false">
      <c r="A50" s="6" t="s">
        <v>310</v>
      </c>
      <c r="B50" s="6" t="n">
        <f aca="false">COUNTIFS(Pendências!$C$2:$C$158,$A50,Pendências!$J$2:$J$158,"Vencida")</f>
        <v>4</v>
      </c>
      <c r="C50" s="6" t="n">
        <f aca="false">COUNTIFS(Pendências!$C$2:$C$158,$A50,Pendências!$J$2:$J$158,"Sem data")</f>
        <v>1</v>
      </c>
      <c r="D50" s="6" t="n">
        <f aca="false">COUNTIFS(Pendências!$C$2:$C$158,$A50,Pendências!$J$2:$J$158,"Vence em breve")</f>
        <v>1</v>
      </c>
      <c r="E50" s="7" t="n">
        <f aca="false">SUM(B50:D50)</f>
        <v>6</v>
      </c>
      <c r="F50" s="6" t="n">
        <f aca="false">COUNTIFS(Pendências!$C$2:$C$158,$A50,Pendências!$B$2:$B$158,"Alta")</f>
        <v>4</v>
      </c>
    </row>
    <row r="51" customFormat="false" ht="15" hidden="false" customHeight="false" outlineLevel="0" collapsed="false">
      <c r="A51" s="6" t="s">
        <v>316</v>
      </c>
      <c r="B51" s="6" t="n">
        <f aca="false">COUNTIFS(Pendências!$C$2:$C$158,$A51,Pendências!$J$2:$J$158,"Vencida")</f>
        <v>3</v>
      </c>
      <c r="C51" s="6" t="n">
        <f aca="false">COUNTIFS(Pendências!$C$2:$C$158,$A51,Pendências!$J$2:$J$158,"Sem data")</f>
        <v>4</v>
      </c>
      <c r="D51" s="6" t="n">
        <f aca="false">COUNTIFS(Pendências!$C$2:$C$158,$A51,Pendências!$J$2:$J$158,"Vence em breve")</f>
        <v>0</v>
      </c>
      <c r="E51" s="7" t="n">
        <f aca="false">SUM(B51:D51)</f>
        <v>7</v>
      </c>
      <c r="F51" s="6" t="n">
        <f aca="false">COUNTIFS(Pendências!$C$2:$C$158,$A51,Pendências!$B$2:$B$158,"Alta")</f>
        <v>1</v>
      </c>
    </row>
    <row r="52" customFormat="false" ht="15" hidden="false" customHeight="false" outlineLevel="0" collapsed="false">
      <c r="A52" s="6" t="s">
        <v>321</v>
      </c>
      <c r="B52" s="6" t="n">
        <f aca="false">COUNTIFS(Pendências!$C$2:$C$158,$A52,Pendências!$J$2:$J$158,"Vencida")</f>
        <v>2</v>
      </c>
      <c r="C52" s="6" t="n">
        <f aca="false">COUNTIFS(Pendências!$C$2:$C$158,$A52,Pendências!$J$2:$J$158,"Sem data")</f>
        <v>0</v>
      </c>
      <c r="D52" s="6" t="n">
        <f aca="false">COUNTIFS(Pendências!$C$2:$C$158,$A52,Pendências!$J$2:$J$158,"Vence em breve")</f>
        <v>1</v>
      </c>
      <c r="E52" s="7" t="n">
        <f aca="false">SUM(B52:D52)</f>
        <v>3</v>
      </c>
      <c r="F52" s="6" t="n">
        <f aca="false">COUNTIFS(Pendências!$C$2:$C$158,$A52,Pendências!$B$2:$B$158,"Alta")</f>
        <v>2</v>
      </c>
    </row>
    <row r="53" customFormat="false" ht="15" hidden="false" customHeight="false" outlineLevel="0" collapsed="false">
      <c r="A53" s="6" t="s">
        <v>324</v>
      </c>
      <c r="B53" s="6" t="n">
        <f aca="false">COUNTIFS(Pendências!$C$2:$C$158,$A53,Pendências!$J$2:$J$158,"Vencida")</f>
        <v>2</v>
      </c>
      <c r="C53" s="6" t="n">
        <f aca="false">COUNTIFS(Pendências!$C$2:$C$158,$A53,Pendências!$J$2:$J$158,"Sem data")</f>
        <v>1</v>
      </c>
      <c r="D53" s="6" t="n">
        <f aca="false">COUNTIFS(Pendências!$C$2:$C$158,$A53,Pendências!$J$2:$J$158,"Vence em breve")</f>
        <v>0</v>
      </c>
      <c r="E53" s="7" t="n">
        <f aca="false">SUM(B53:D53)</f>
        <v>3</v>
      </c>
      <c r="F53" s="6" t="n">
        <f aca="false">COUNTIFS(Pendências!$C$2:$C$158,$A53,Pendências!$B$2:$B$158,"Alta")</f>
        <v>2</v>
      </c>
    </row>
  </sheetData>
  <autoFilter ref="A1:F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330</v>
      </c>
      <c r="B2" s="17" t="s">
        <v>331</v>
      </c>
      <c r="C2" s="17" t="s">
        <v>332</v>
      </c>
    </row>
    <row r="3" customFormat="false" ht="15" hidden="false" customHeight="false" outlineLevel="0" collapsed="false">
      <c r="A3" s="17" t="s">
        <v>333</v>
      </c>
      <c r="B3" s="17" t="s">
        <v>334</v>
      </c>
      <c r="C3" s="17" t="s">
        <v>335</v>
      </c>
    </row>
    <row r="4" customFormat="false" ht="15" hidden="false" customHeight="false" outlineLevel="0" collapsed="false">
      <c r="A4" s="17" t="s">
        <v>336</v>
      </c>
      <c r="B4" s="17" t="s">
        <v>337</v>
      </c>
      <c r="C4" s="17" t="s">
        <v>338</v>
      </c>
    </row>
    <row r="5" customFormat="false" ht="23.85" hidden="false" customHeight="false" outlineLevel="0" collapsed="false">
      <c r="A5" s="17" t="s">
        <v>339</v>
      </c>
      <c r="B5" s="17" t="s">
        <v>340</v>
      </c>
      <c r="C5" s="17" t="s">
        <v>341</v>
      </c>
    </row>
    <row r="6" customFormat="false" ht="15" hidden="false" customHeight="false" outlineLevel="0" collapsed="false">
      <c r="A6" s="17" t="s">
        <v>342</v>
      </c>
      <c r="B6" s="17" t="s">
        <v>343</v>
      </c>
      <c r="C6" s="17" t="s">
        <v>344</v>
      </c>
    </row>
    <row r="7" customFormat="false" ht="15" hidden="false" customHeight="false" outlineLevel="0" collapsed="false">
      <c r="A7" s="17" t="s">
        <v>345</v>
      </c>
      <c r="B7" s="17" t="s">
        <v>346</v>
      </c>
      <c r="C7" s="17" t="s">
        <v>347</v>
      </c>
    </row>
    <row r="8" customFormat="false" ht="15" hidden="false" customHeight="false" outlineLevel="0" collapsed="false">
      <c r="A8" s="17" t="s">
        <v>348</v>
      </c>
      <c r="B8" s="17" t="s">
        <v>343</v>
      </c>
      <c r="C8" s="17" t="s">
        <v>349</v>
      </c>
    </row>
    <row r="9" customFormat="false" ht="15" hidden="false" customHeight="false" outlineLevel="0" collapsed="false">
      <c r="A9" s="17" t="s">
        <v>350</v>
      </c>
      <c r="B9" s="17" t="s">
        <v>351</v>
      </c>
      <c r="C9" s="17" t="s">
        <v>352</v>
      </c>
    </row>
    <row r="10" customFormat="false" ht="15" hidden="false" customHeight="false" outlineLevel="0" collapsed="false">
      <c r="A10" s="17" t="s">
        <v>353</v>
      </c>
      <c r="B10" s="17" t="s">
        <v>354</v>
      </c>
      <c r="C10" s="17" t="s">
        <v>355</v>
      </c>
    </row>
    <row r="11" customFormat="false" ht="35.05" hidden="false" customHeight="false" outlineLevel="0" collapsed="false">
      <c r="A11" s="17" t="s">
        <v>356</v>
      </c>
      <c r="B11" s="17" t="s">
        <v>357</v>
      </c>
      <c r="C11" s="17" t="s">
        <v>358</v>
      </c>
    </row>
    <row r="12" customFormat="false" ht="15" hidden="false" customHeight="false" outlineLevel="0" collapsed="false">
      <c r="A12" s="17" t="s">
        <v>359</v>
      </c>
      <c r="B12" s="17" t="s">
        <v>116</v>
      </c>
      <c r="C12" s="17" t="s">
        <v>360</v>
      </c>
    </row>
    <row r="13" customFormat="false" ht="15" hidden="false" customHeight="false" outlineLevel="0" collapsed="false">
      <c r="A13" s="17" t="s">
        <v>361</v>
      </c>
      <c r="B13" s="17" t="s">
        <v>343</v>
      </c>
      <c r="C13" s="17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2026-10-23T13:00:29Z</dcterms:created>
  <dc:creator>openpyxl</dc:creator>
  <dc:description/>
  <dc:language>en-US</dc:language>
  <cp:lastModifiedBy/>
  <dcterms:modified xsi:type="dcterms:W3CDTF">2026-10-23T13:00:29Z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