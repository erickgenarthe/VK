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o" sheetId="1" state="visible" r:id="rId3"/>
    <sheet name="Pendências" sheetId="2" state="visible" r:id="rId4"/>
    <sheet name="Por empresa" sheetId="3" state="visible" r:id="rId5"/>
    <sheet name="Licenças que faltam" sheetId="4" state="visible" r:id="rId6"/>
  </sheets>
  <definedNames>
    <definedName function="false" hidden="true" localSheetId="1" name="_xlnm._FilterDatabase" vbProcedure="false">Pendências!$A$1:$R$135</definedName>
    <definedName function="false" hidden="true" localSheetId="2" name="_xlnm._FilterDatabase" vbProcedure="false">'Por empresa'!$A$1:$F$46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<sst xmlns="http://schemas.openxmlformats.org/spreadsheetml/2006/main" count="1500" uniqueCount="348">
  <si>
    <t xml:space="preserve">Condicionantes ambientais – pendências</t>
  </si>
  <si>
    <t xml:space="preserve">Fonte: licenças e documentos das pastas dos clientes (RN Projetos). Itens marcados como "já atendidos" (placa, publicação, treinamento, INMETRO e laudo) não aparecem, exceto licenças emitidas em 2026.</t>
  </si>
  <si>
    <t xml:space="preserve">Data de referência</t>
  </si>
  <si>
    <t xml:space="preserve">← altere para atualizar os dias de atraso na aba Pendências</t>
  </si>
  <si>
    <t xml:space="preserve">Condicionante</t>
  </si>
  <si>
    <t xml:space="preserve">Vencidas</t>
  </si>
  <si>
    <t xml:space="preserve">Sem data</t>
  </si>
  <si>
    <t xml:space="preserve">Vencem em breve</t>
  </si>
  <si>
    <t xml:space="preserve">Total</t>
  </si>
  <si>
    <t xml:space="preserve">Renovação da licença</t>
  </si>
  <si>
    <t xml:space="preserve">IBAMA – Certificado de Regularidade</t>
  </si>
  <si>
    <t xml:space="preserve">IBAMA – TCFA em aberto</t>
  </si>
  <si>
    <t xml:space="preserve">Publicação da concessão</t>
  </si>
  <si>
    <t xml:space="preserve">Placa indicativa</t>
  </si>
  <si>
    <t xml:space="preserve">ANP – Certificado de posto revendedor</t>
  </si>
  <si>
    <t xml:space="preserve">AVCB / CLCB (Bombeiros)</t>
  </si>
  <si>
    <t xml:space="preserve">TOG – Óleos e graxas</t>
  </si>
  <si>
    <t xml:space="preserve">INMETRO – Bombas</t>
  </si>
  <si>
    <t xml:space="preserve">Laudo de estanqueidade</t>
  </si>
  <si>
    <t xml:space="preserve">Certificados de treinamento</t>
  </si>
  <si>
    <t xml:space="preserve">Resíduos oleosos (relatório semestral)</t>
  </si>
  <si>
    <t xml:space="preserve">TOTAL</t>
  </si>
  <si>
    <t xml:space="preserve">Andamento (preenchido na aba Pendências)</t>
  </si>
  <si>
    <t xml:space="preserve">A fazer</t>
  </si>
  <si>
    <t xml:space="preserve">Em andamento</t>
  </si>
  <si>
    <t xml:space="preserve">Aguardando cliente</t>
  </si>
  <si>
    <t xml:space="preserve">Resolvido</t>
  </si>
  <si>
    <t xml:space="preserve">Já estava em dia</t>
  </si>
  <si>
    <t xml:space="preserve">Como usar: filtre a aba Pendências por Empresa, Condicionante ou Situação. Preencha Responsável, Andamento, Prazo combinado e Observações (colunas amarelas).</t>
  </si>
  <si>
    <t xml:space="preserve">Nº</t>
  </si>
  <si>
    <t xml:space="preserve">Prioridade</t>
  </si>
  <si>
    <t xml:space="preserve">Empresa</t>
  </si>
  <si>
    <t xml:space="preserve">Município</t>
  </si>
  <si>
    <t xml:space="preserve">CNPJ</t>
  </si>
  <si>
    <t xml:space="preserve">Licença nº</t>
  </si>
  <si>
    <t xml:space="preserve">Validade da licença</t>
  </si>
  <si>
    <t xml:space="preserve">Cond. nº na licença</t>
  </si>
  <si>
    <t xml:space="preserve">Situação</t>
  </si>
  <si>
    <t xml:space="preserve">Vencimento / último prazo</t>
  </si>
  <si>
    <t xml:space="preserve">Dias (+ falta / – atraso)</t>
  </si>
  <si>
    <t xml:space="preserve">De onde veio a data</t>
  </si>
  <si>
    <t xml:space="preserve">O que fazer</t>
  </si>
  <si>
    <t xml:space="preserve">Responsável</t>
  </si>
  <si>
    <t xml:space="preserve">Andamento</t>
  </si>
  <si>
    <t xml:space="preserve">Prazo combinado</t>
  </si>
  <si>
    <t xml:space="preserve">Observações</t>
  </si>
  <si>
    <t xml:space="preserve">Baixa</t>
  </si>
  <si>
    <t xml:space="preserve">Auto Posto Central Mineiro Ltda</t>
  </si>
  <si>
    <t xml:space="preserve">Frutuoso Gomes</t>
  </si>
  <si>
    <t xml:space="preserve">34.086.384/0001-29</t>
  </si>
  <si>
    <t xml:space="preserve">2020-156385/TEC/LO-0056</t>
  </si>
  <si>
    <t xml:space="preserve">Vence em breve</t>
  </si>
  <si>
    <t xml:space="preserve">Documento na pasta: Certificado de Regularidade (CTF/APP) emitido em 18/08/2026</t>
  </si>
  <si>
    <t xml:space="preserve">Emitir novo Certificado de Regularidade (CTF/APP) no site do IBAMA (vale 3 meses) e arquivar na pasta.</t>
  </si>
  <si>
    <t xml:space="preserve">Documento na pasta: AVCB nº 65529 emitido em 18/11/2025</t>
  </si>
  <si>
    <t xml:space="preserve">Conferir com o cliente se há AVCB/CLCB mais recente ou renovação em andamento; se não, solicitar renovação ao Corpo de Bombeiros e protocolar o novo no Comunic@.</t>
  </si>
  <si>
    <t xml:space="preserve">Alta</t>
  </si>
  <si>
    <t xml:space="preserve">Vencida</t>
  </si>
  <si>
    <t xml:space="preserve">Documento na pasta: Coleta em 16/06/2026 → +3 meses</t>
  </si>
  <si>
    <t xml:space="preserve">Programar nova coleta de óleos e graxas (a cada 3 meses) e protocolar o laudo no Comunic@. Conferir se já existe laudo mais recente.</t>
  </si>
  <si>
    <t xml:space="preserve">Auto Posto Lopes Combustiveis Ltda</t>
  </si>
  <si>
    <t xml:space="preserve">Viçosa</t>
  </si>
  <si>
    <t xml:space="preserve">22.497.882/0001-85</t>
  </si>
  <si>
    <t xml:space="preserve">2023-194569/TEC/RLO-0313</t>
  </si>
  <si>
    <t xml:space="preserve">Documento na pasta: AVCB emitido em 04/12/2024</t>
  </si>
  <si>
    <t xml:space="preserve">Auto Posto Maioridade Ltda</t>
  </si>
  <si>
    <t xml:space="preserve">Martins</t>
  </si>
  <si>
    <t xml:space="preserve">23.475.547/0001-49</t>
  </si>
  <si>
    <t xml:space="preserve">2023-201498/TEC/RLO-0710</t>
  </si>
  <si>
    <t xml:space="preserve">Documento na pasta: AVCB nº 65330 emitido em 14/10/2025</t>
  </si>
  <si>
    <t xml:space="preserve">Auto Posto Santo Expedito Eireli</t>
  </si>
  <si>
    <t xml:space="preserve">Tenente Ananias</t>
  </si>
  <si>
    <t xml:space="preserve">03.445.752/0001-54</t>
  </si>
  <si>
    <t xml:space="preserve">2020-157554/TEC/LO-0286</t>
  </si>
  <si>
    <t xml:space="preserve">Informe a data do último envio</t>
  </si>
  <si>
    <t xml:space="preserve">Média</t>
  </si>
  <si>
    <t xml:space="preserve">Auto Posto Taboleiro Ltda</t>
  </si>
  <si>
    <t xml:space="preserve">Taboleiro Grande</t>
  </si>
  <si>
    <t xml:space="preserve">51.502.654/0001-54</t>
  </si>
  <si>
    <t xml:space="preserve">2021-159236/TEC/RLO-0032</t>
  </si>
  <si>
    <t xml:space="preserve">Prazo único de 10 dias após a emissão</t>
  </si>
  <si>
    <t xml:space="preserve">Conferir se a concessão foi publicada (D.O.E. e jornal) e protocolar a cópia no Comunic@.</t>
  </si>
  <si>
    <t xml:space="preserve">Prazo único de 90 dias após a emissão</t>
  </si>
  <si>
    <t xml:space="preserve">Conferir foto da placa indicativa (modelo IDEMA) e protocolar no Comunic@.</t>
  </si>
  <si>
    <t xml:space="preserve">Documento na pasta: AVCB emitido em 08/05/2025</t>
  </si>
  <si>
    <t xml:space="preserve">Documento na pasta: Coleta em 17/06/2026 → +3 meses</t>
  </si>
  <si>
    <t xml:space="preserve">Conferir verificação anual das bombas (IPEM/INMETRO); se vencida, solicitar vistoria e guardar os certificados.</t>
  </si>
  <si>
    <t xml:space="preserve">Documento na pasta: Ensaio de 20/01/2021; 5 anos</t>
  </si>
  <si>
    <t xml:space="preserve">Conferir teste de estanqueidade (validade de 5 anos); se vencido ou inexistente, contratar novo laudo e protocolar.</t>
  </si>
  <si>
    <t xml:space="preserve">Conferir certificados de treinamento (NR-20) dos funcionários e protocolar os atualizados.</t>
  </si>
  <si>
    <t xml:space="preserve">C.Dantas Teixeira Me</t>
  </si>
  <si>
    <t xml:space="preserve">Pau dos Ferros</t>
  </si>
  <si>
    <t xml:space="preserve">10.325.617/0001-30</t>
  </si>
  <si>
    <t xml:space="preserve">2020-150229/TEC/RLO-0336</t>
  </si>
  <si>
    <t xml:space="preserve">Licença vale até 18/12/2026 (pedido ≥120 dias antes)</t>
  </si>
  <si>
    <t xml:space="preserve">Conferir se a renovação já foi requerida/emitida; se não, protocolar o pedido de renovação no IDEMA (mín. 120 dias antes do fim da validade).</t>
  </si>
  <si>
    <t xml:space="preserve">Documento na pasta: Certificado de Regularidade (CTF/APP) emitido em 08/07/2026</t>
  </si>
  <si>
    <t xml:space="preserve">Comercial De Petroleo M &amp; M Santos Ltda</t>
  </si>
  <si>
    <t xml:space="preserve">Carnaubais</t>
  </si>
  <si>
    <t xml:space="preserve">18.630.311/0001-08</t>
  </si>
  <si>
    <t xml:space="preserve">2025-246171/TEC/RLO-0573</t>
  </si>
  <si>
    <t xml:space="preserve">Comercial Freitas Ltda - Posto Esperanca</t>
  </si>
  <si>
    <t xml:space="preserve">Almino Afonso</t>
  </si>
  <si>
    <t xml:space="preserve">12.640.314/0001-38</t>
  </si>
  <si>
    <t xml:space="preserve">2008-023789/TEC/LRO-0174</t>
  </si>
  <si>
    <t xml:space="preserve">Licença vale até 06/09/2020 (pedido ≥120 dias antes)</t>
  </si>
  <si>
    <t xml:space="preserve">Documento na pasta: Certificado de Regularidade (CTF/APP) emitido em 20/08/2026</t>
  </si>
  <si>
    <t xml:space="preserve">Comercial Rodrigues Dos Santos Ltda</t>
  </si>
  <si>
    <t xml:space="preserve">Assú</t>
  </si>
  <si>
    <t xml:space="preserve">24.186.793/0001-43</t>
  </si>
  <si>
    <t xml:space="preserve">2021-160799/TEC/RLO-0226</t>
  </si>
  <si>
    <t xml:space="preserve">Comercio De Combustiveis Santo Antonio Ltda</t>
  </si>
  <si>
    <t xml:space="preserve">Severiano Melo</t>
  </si>
  <si>
    <t xml:space="preserve">58.058.585/0001-80</t>
  </si>
  <si>
    <t xml:space="preserve">2025-248521/TEC/LO-0297</t>
  </si>
  <si>
    <t xml:space="preserve">Coronel Gas Ii Ltda</t>
  </si>
  <si>
    <t xml:space="preserve">Município São Miguel</t>
  </si>
  <si>
    <t xml:space="preserve">56.086.886/0001-92</t>
  </si>
  <si>
    <t xml:space="preserve">2024-219372/TEC/LO-0637</t>
  </si>
  <si>
    <t xml:space="preserve">Damiana Maria De Jesus Dantas Varejista</t>
  </si>
  <si>
    <t xml:space="preserve">Venha Ver</t>
  </si>
  <si>
    <t xml:space="preserve">10.973.484/0001-09</t>
  </si>
  <si>
    <t xml:space="preserve">2022-180904/TEC/RLO-0170</t>
  </si>
  <si>
    <t xml:space="preserve">Documento na pasta: AVCB emitido em 22/07/2025</t>
  </si>
  <si>
    <t xml:space="preserve">Estevam E Castro Posto De Combustivel Ltda</t>
  </si>
  <si>
    <t xml:space="preserve">Encanto</t>
  </si>
  <si>
    <t xml:space="preserve">06.287.722/0001-55</t>
  </si>
  <si>
    <t xml:space="preserve">2025-250825/TEC/RLO-0982</t>
  </si>
  <si>
    <t xml:space="preserve">Documento na pasta: 6 boletos TCFA em aberto na pasta: 2022/3 a 2023/4, todos com vencimento em 31/01/2024</t>
  </si>
  <si>
    <t xml:space="preserve">Conferir o pagamento dos boletos TCFA em aberto (2022/3 a 2023/4); se não pagos, emitir 2ª via ou parcelamento no IBAMA.</t>
  </si>
  <si>
    <t xml:space="preserve">Documento na pasta: AVCB emitido em 05/08/2025</t>
  </si>
  <si>
    <t xml:space="preserve">Reunir comprovantes de coleta/destinação de resíduos oleosos e protocolar semestralmente.</t>
  </si>
  <si>
    <t xml:space="preserve">F I Jr Carvalho Ltda</t>
  </si>
  <si>
    <t xml:space="preserve">José da Penha</t>
  </si>
  <si>
    <t xml:space="preserve">29.440.003/0001-28</t>
  </si>
  <si>
    <t xml:space="preserve">2023-196630/TEC/LO-0184</t>
  </si>
  <si>
    <t xml:space="preserve">Fabio Maciel Dantas Varejista</t>
  </si>
  <si>
    <t xml:space="preserve">15.479.978/0001-55</t>
  </si>
  <si>
    <t xml:space="preserve">2026-259961/TEC/RLO-0382</t>
  </si>
  <si>
    <t xml:space="preserve">Documento na pasta: AVCB nº 65104 emitido em 28/10/2025</t>
  </si>
  <si>
    <t xml:space="preserve">Documento na pasta: Verificação de 09/10/2020 (aprovado) — a última da pasta; renovação anual</t>
  </si>
  <si>
    <t xml:space="preserve">Fernandes E Pinheiro Ltda</t>
  </si>
  <si>
    <t xml:space="preserve">Venha-Ver</t>
  </si>
  <si>
    <t xml:space="preserve">23.761.095/0001-61</t>
  </si>
  <si>
    <t xml:space="preserve">2022-187361/TEC/LO-0394</t>
  </si>
  <si>
    <t xml:space="preserve">Documento na pasta: Certificado de Regularidade (CTF/APP) emitido em 08/06/2026</t>
  </si>
  <si>
    <t xml:space="preserve">Documento na pasta: Verificação de 11/11/2025 (aprovado); renovação anual</t>
  </si>
  <si>
    <t xml:space="preserve">Fernandes E Queiroz Combustiveis Ltda</t>
  </si>
  <si>
    <t xml:space="preserve">20.783.185/0001-65</t>
  </si>
  <si>
    <t xml:space="preserve">2021-170886/TEC/RLO-1166</t>
  </si>
  <si>
    <t xml:space="preserve">Francisco Valentim Goncalves</t>
  </si>
  <si>
    <t xml:space="preserve">São Miguel</t>
  </si>
  <si>
    <t xml:space="preserve">07.951.495/0001-83</t>
  </si>
  <si>
    <t xml:space="preserve">2020-152705/TEC/LO-0151</t>
  </si>
  <si>
    <t xml:space="preserve">G J Santos De Oliveira Ltda - Macau</t>
  </si>
  <si>
    <t xml:space="preserve">Macau</t>
  </si>
  <si>
    <t xml:space="preserve">70.156.112/0004-64</t>
  </si>
  <si>
    <t xml:space="preserve">2021-171395/TEC/LO-0328</t>
  </si>
  <si>
    <t xml:space="preserve">G J Santos De Oliveira Ltda - Umarizal</t>
  </si>
  <si>
    <t xml:space="preserve">Umarizal</t>
  </si>
  <si>
    <t xml:space="preserve">70.156.112/0002-00</t>
  </si>
  <si>
    <t xml:space="preserve">2021-167377/TEC/LO-0250</t>
  </si>
  <si>
    <t xml:space="preserve">G. J. Santos De Oliveira Ltda</t>
  </si>
  <si>
    <t xml:space="preserve">Itau</t>
  </si>
  <si>
    <t xml:space="preserve">70.156.112/0003-83</t>
  </si>
  <si>
    <t xml:space="preserve">2025-242199/TEC/LO-0085</t>
  </si>
  <si>
    <t xml:space="preserve">Documento na pasta: AVCB nº 55769 emitido em 29/08/2024</t>
  </si>
  <si>
    <t xml:space="preserve">Gomes Comercio De Combustiveis Ltda</t>
  </si>
  <si>
    <t xml:space="preserve">Francisco Dantas</t>
  </si>
  <si>
    <t xml:space="preserve">40.973.051/0001-14</t>
  </si>
  <si>
    <t xml:space="preserve">2022-182679/TEC/LO-0249</t>
  </si>
  <si>
    <t xml:space="preserve">Documento na pasta: AVCB emitido em 21/05/2025</t>
  </si>
  <si>
    <t xml:space="preserve">J P Da Silva Lopes Ltda</t>
  </si>
  <si>
    <t xml:space="preserve">33.917.013/0003-40</t>
  </si>
  <si>
    <t xml:space="preserve">2022-185442/TEC/LO-0330</t>
  </si>
  <si>
    <t xml:space="preserve">Documento na pasta: Certificado de Regularidade (CTF/APP) emitido em 09/06/2026</t>
  </si>
  <si>
    <t xml:space="preserve">Documento na pasta: AVCB emitido em 06/12/2024</t>
  </si>
  <si>
    <t xml:space="preserve">Joao Paulo Da Silva Lopes</t>
  </si>
  <si>
    <t xml:space="preserve">52.439.755/0001-90</t>
  </si>
  <si>
    <t xml:space="preserve">2024-222931/TEC/LO-0714</t>
  </si>
  <si>
    <t xml:space="preserve">Documento na pasta: Certificado de Regularidade (CTF/APP) emitido em 21/07/2026</t>
  </si>
  <si>
    <t xml:space="preserve">Katarina Lavya De Freitas Cardozo Combustiveis</t>
  </si>
  <si>
    <t xml:space="preserve">Marcelino Vieira</t>
  </si>
  <si>
    <t xml:space="preserve">17.148.809/0001-68</t>
  </si>
  <si>
    <t xml:space="preserve">2019-135113/TEC/RLO-0284</t>
  </si>
  <si>
    <t xml:space="preserve">Licença vale até 09/01/2026 (pedido ≥120 dias antes)</t>
  </si>
  <si>
    <t xml:space="preserve">Documento na pasta: Certificado de Regularidade (CTF/APP) com validade até 02/01/2025 — o último da pasta</t>
  </si>
  <si>
    <t xml:space="preserve">Documento na pasta: Certificado emitido em 02/12/2025, válido por 3 meses (o mais recente da pasta)</t>
  </si>
  <si>
    <t xml:space="preserve">Emitir novo certificado no site da ANP (vale 3 meses) e protocolar no Comunic@.</t>
  </si>
  <si>
    <t xml:space="preserve">Documento na pasta: AVCB emitido em 10/08/2023</t>
  </si>
  <si>
    <t xml:space="preserve">Documento na pasta: Coleta em 05/12/2023 (o mais recente da pasta) → +3 meses</t>
  </si>
  <si>
    <t xml:space="preserve">Mar Azul Combustiveis Ltda</t>
  </si>
  <si>
    <t xml:space="preserve">Mossoró</t>
  </si>
  <si>
    <t xml:space="preserve">26.210.818/0001-22</t>
  </si>
  <si>
    <t xml:space="preserve">2021-168234/TEC/RLO-1048</t>
  </si>
  <si>
    <t xml:space="preserve">Marcos Antonio Gurgel Costa</t>
  </si>
  <si>
    <t xml:space="preserve">01.119.969/0001-49</t>
  </si>
  <si>
    <t xml:space="preserve">2025-249163/TEC/RLO-0787</t>
  </si>
  <si>
    <t xml:space="preserve">Documento na pasta: Certificado de Regularidade (CTF/APP) emitido em 07/06/2026</t>
  </si>
  <si>
    <t xml:space="preserve">Documento na pasta: AVCB emitido em 14/10/2025</t>
  </si>
  <si>
    <t xml:space="preserve">Maria Eliana De Sousa Combustiveis Ltda</t>
  </si>
  <si>
    <t xml:space="preserve">Antônio Martins</t>
  </si>
  <si>
    <t xml:space="preserve">03.601.442/0001-81</t>
  </si>
  <si>
    <t xml:space="preserve">2020-150989/TEC/RLO-0421</t>
  </si>
  <si>
    <t xml:space="preserve">Licença vale até 23/09/2026 (pedido ≥120 dias antes)</t>
  </si>
  <si>
    <t xml:space="preserve">2025-243682/TEC/RLO-0321</t>
  </si>
  <si>
    <t xml:space="preserve">Documento na pasta: Coleta em 18/06/2026 → +3 meses</t>
  </si>
  <si>
    <t xml:space="preserve">Maria Orlete Nunes</t>
  </si>
  <si>
    <t xml:space="preserve">Luis Gomes</t>
  </si>
  <si>
    <t xml:space="preserve">02.197.161/0001-42</t>
  </si>
  <si>
    <t xml:space="preserve">2021-172414/TEC/RLO-1231</t>
  </si>
  <si>
    <t xml:space="preserve">Documento na pasta: AVCB nº 65396, válido até 28/10/2026</t>
  </si>
  <si>
    <t xml:space="preserve">Novo Horizonte Combustiveis Eireli - Epp</t>
  </si>
  <si>
    <t xml:space="preserve">Lucrécia</t>
  </si>
  <si>
    <t xml:space="preserve">08.641.978/0001-44</t>
  </si>
  <si>
    <t xml:space="preserve">2022-182985/TEC/LO-0258</t>
  </si>
  <si>
    <t xml:space="preserve">Documento na pasta: Coleta em 15/06/2026 → +3 meses</t>
  </si>
  <si>
    <t xml:space="preserve">Documento na pasta: Certificados de verificação de 18/11/2025 (aprovado); renovação anual</t>
  </si>
  <si>
    <t xml:space="preserve">Posto Amigos Ltda</t>
  </si>
  <si>
    <t xml:space="preserve">10.898.135/0001-70</t>
  </si>
  <si>
    <t xml:space="preserve">2016-105348/TEC/LO-0313</t>
  </si>
  <si>
    <t xml:space="preserve">Licença vale até 24/01/2026 (pedido ≥120 dias antes)</t>
  </si>
  <si>
    <t xml:space="preserve">Documento na pasta: Certificado de Regularidade (CTF/APP) válido até 15/06/2025 — o último da pasta</t>
  </si>
  <si>
    <t xml:space="preserve">Documento na pasta: AVCB emitido em 05/02/2025</t>
  </si>
  <si>
    <t xml:space="preserve">Posto Carioca Ltda</t>
  </si>
  <si>
    <t xml:space="preserve">11.287.738/0001-06</t>
  </si>
  <si>
    <t xml:space="preserve">2022-181427/TEC/LO-0215</t>
  </si>
  <si>
    <t xml:space="preserve">Posto Central Sao Sebastiao Ltda</t>
  </si>
  <si>
    <t xml:space="preserve">Coronel João Pessoa</t>
  </si>
  <si>
    <t xml:space="preserve">12.203.201/0001-75</t>
  </si>
  <si>
    <t xml:space="preserve">2020-151603/TEC/RLO-0596</t>
  </si>
  <si>
    <t xml:space="preserve">Documento na pasta: Certificado de Regularidade (CTF/APP) emitido em 24/07/2026</t>
  </si>
  <si>
    <t xml:space="preserve">Documento na pasta: AVCB emitido em 22/08/2024</t>
  </si>
  <si>
    <t xml:space="preserve">Posto Centro Norte Ltda Me — Posto</t>
  </si>
  <si>
    <t xml:space="preserve">Portalegre</t>
  </si>
  <si>
    <t xml:space="preserve">09.500.928/0001-00</t>
  </si>
  <si>
    <t xml:space="preserve">2020-153758/TEC/RLO-0943</t>
  </si>
  <si>
    <t xml:space="preserve">Licença vale até 20/11/2026 (pedido ≥120 dias antes)</t>
  </si>
  <si>
    <t xml:space="preserve">Posto Da Serra Combustiveis Ltda</t>
  </si>
  <si>
    <t xml:space="preserve">29.120.373/0001-88</t>
  </si>
  <si>
    <t xml:space="preserve">2020-157504/TEC/LO-0270</t>
  </si>
  <si>
    <t xml:space="preserve">Licença vale até 17/12/2026 (pedido ≥120 dias antes)</t>
  </si>
  <si>
    <t xml:space="preserve">Documento na pasta: AVCB nº 41852 emitido em 23/09/2022</t>
  </si>
  <si>
    <t xml:space="preserve">3 meses após o último envio (02/09/2023)</t>
  </si>
  <si>
    <t xml:space="preserve">Posto De Combustíveis Garcia Ltda</t>
  </si>
  <si>
    <t xml:space="preserve">Serrinha</t>
  </si>
  <si>
    <t xml:space="preserve">37.063.855/0001-71</t>
  </si>
  <si>
    <t xml:space="preserve">2025-243838/TEC/LO-0141</t>
  </si>
  <si>
    <t xml:space="preserve">Documento na pasta: AVCB emitido em 15/04/2025</t>
  </si>
  <si>
    <t xml:space="preserve">Posto Ln Ltda</t>
  </si>
  <si>
    <t xml:space="preserve">Grossos</t>
  </si>
  <si>
    <t xml:space="preserve">05.676.120/0001-27</t>
  </si>
  <si>
    <t xml:space="preserve">2017-111947/TEC/LO-0176</t>
  </si>
  <si>
    <t xml:space="preserve">Licença vale até 21/01/2026 (pedido ≥120 dias antes)</t>
  </si>
  <si>
    <t xml:space="preserve">Documento na pasta: AVCB emitido em 01/04/2025</t>
  </si>
  <si>
    <t xml:space="preserve">Documento na pasta: Coleta em 30/11/2023 (laudo de 12/01/2024) → +3 meses</t>
  </si>
  <si>
    <t xml:space="preserve">Posto Maisa Comercio De Combustiveis E Lubrificantes Ltda</t>
  </si>
  <si>
    <t xml:space="preserve">13.771.358/0001-60</t>
  </si>
  <si>
    <t xml:space="preserve">2020-153756/TEC/RLO-0932</t>
  </si>
  <si>
    <t xml:space="preserve">Licença vale até 21/01/2027 (pedido ≥120 dias antes)</t>
  </si>
  <si>
    <t xml:space="preserve">Posto Riachao Ltda</t>
  </si>
  <si>
    <t xml:space="preserve">51.707.011/0001-47</t>
  </si>
  <si>
    <t xml:space="preserve">2023-196585/TEC/LO-0183</t>
  </si>
  <si>
    <t xml:space="preserve">Documento na pasta: Coleta em 21/10/2025 (laudo emitido em 20/07/2026) → +3 meses</t>
  </si>
  <si>
    <t xml:space="preserve">Posto Santa Rita Iii Eireli</t>
  </si>
  <si>
    <t xml:space="preserve">37.679.042/0001-00</t>
  </si>
  <si>
    <t xml:space="preserve">2021-168355/TEC/LO-0268</t>
  </si>
  <si>
    <t xml:space="preserve">Documento na pasta: AVCB nº 60381 emitido em 26/03/2025</t>
  </si>
  <si>
    <t xml:space="preserve">Posto Tibau Comercio De Combustiveis E Lubrificantes Ltda</t>
  </si>
  <si>
    <t xml:space="preserve">Tibau</t>
  </si>
  <si>
    <t xml:space="preserve">13.259.674/0001-57</t>
  </si>
  <si>
    <t xml:space="preserve">2022-182019/TEC/LO-0237</t>
  </si>
  <si>
    <t xml:space="preserve">Validade do documento enviado</t>
  </si>
  <si>
    <t xml:space="preserve">Documento na pasta: Coleta em 15/05/2024 (laudo de 31/05/2024) → +3 meses</t>
  </si>
  <si>
    <t xml:space="preserve">Documento na pasta: Certificados de verificação de 13/11/2025 (aprovado); renovação anual</t>
  </si>
  <si>
    <t xml:space="preserve">R C F Silva</t>
  </si>
  <si>
    <t xml:space="preserve">Janduís</t>
  </si>
  <si>
    <t xml:space="preserve">24.594.640/0002-16</t>
  </si>
  <si>
    <t xml:space="preserve">2020-152300/TEC/RLO-0688</t>
  </si>
  <si>
    <t xml:space="preserve">Licença vale até 06/11/2026 (pedido ≥120 dias antes)</t>
  </si>
  <si>
    <t xml:space="preserve">Documento na pasta: AVCB emitido em 25/08/2025</t>
  </si>
  <si>
    <t xml:space="preserve">R J Combustiveis Ltda</t>
  </si>
  <si>
    <t xml:space="preserve">Touros</t>
  </si>
  <si>
    <t xml:space="preserve">21.071.555/0001-02</t>
  </si>
  <si>
    <t xml:space="preserve">2025-249084/TEC/RLO-0786</t>
  </si>
  <si>
    <t xml:space="preserve">Documento na pasta: AVCB emitido em 11/09/2025</t>
  </si>
  <si>
    <t xml:space="preserve">Relene Maria Lima Fontes</t>
  </si>
  <si>
    <t xml:space="preserve">03.287.515/0001-02</t>
  </si>
  <si>
    <t xml:space="preserve">2024-211928/TEC/RLO-1270</t>
  </si>
  <si>
    <t xml:space="preserve">Revendedora De Combustiveis R &amp; R Eireli</t>
  </si>
  <si>
    <t xml:space="preserve">Maxaranguape</t>
  </si>
  <si>
    <t xml:space="preserve">27.918.902/0001-68</t>
  </si>
  <si>
    <t xml:space="preserve">2019-145653/TEC/LO-0327</t>
  </si>
  <si>
    <t xml:space="preserve">Licença vale até 10/08/2026 (pedido ≥120 dias antes)</t>
  </si>
  <si>
    <t xml:space="preserve">Prioridade alta</t>
  </si>
  <si>
    <t xml:space="preserve">Auto Posto Pais e Filhos</t>
  </si>
  <si>
    <t xml:space="preserve">15.479.953/0001-51</t>
  </si>
  <si>
    <t xml:space="preserve">Pasta 20 tem AVCB, ANP e TOG, mas não tem a licença do IDEMA</t>
  </si>
  <si>
    <t xml:space="preserve">Gás Coronel (Maria S N Gomes)</t>
  </si>
  <si>
    <t xml:space="preserve">43.720.210/0001-67</t>
  </si>
  <si>
    <t xml:space="preserve">Pasta 23 sem licença; AVCB é de revenda de GLP (confirmar se é gás)</t>
  </si>
  <si>
    <t xml:space="preserve">G J Santos de Oliveira – Areia Branca</t>
  </si>
  <si>
    <t xml:space="preserve">70.156.112/0001-11</t>
  </si>
  <si>
    <t xml:space="preserve">Pasta 29 tem ANP e TOG; falta a licença</t>
  </si>
  <si>
    <t xml:space="preserve">Posto Santa Rita I</t>
  </si>
  <si>
    <t xml:space="preserve">07.766.121/0001-98</t>
  </si>
  <si>
    <t xml:space="preserve">Pasta 32 tem ANP e AVCB; falta a licença</t>
  </si>
  <si>
    <t xml:space="preserve">A de Souza Leite Soares (Posto Anderson)</t>
  </si>
  <si>
    <t xml:space="preserve">09.649.896/0001-09</t>
  </si>
  <si>
    <t xml:space="preserve">Pasta 34 tem AVCB, ANP e INMETRO; falta a licença</t>
  </si>
  <si>
    <t xml:space="preserve">I C Soares Ltda JM</t>
  </si>
  <si>
    <t xml:space="preserve">58.152.342/0001-07</t>
  </si>
  <si>
    <t xml:space="preserve">Pasta 35 ainda não enviada</t>
  </si>
  <si>
    <t xml:space="preserve">Nosso Posto Lagoa Nova (Nosso Posto II)</t>
  </si>
  <si>
    <t xml:space="preserve">17.439.147/0001-85</t>
  </si>
  <si>
    <t xml:space="preserve">Pasta 15 ainda não enviada</t>
  </si>
  <si>
    <t xml:space="preserve">Ferreira &amp; Galdêncio Petróleo</t>
  </si>
  <si>
    <t xml:space="preserve">—</t>
  </si>
  <si>
    <t xml:space="preserve">Pasta 42 tem AVCB e ANP; falta a licença</t>
  </si>
  <si>
    <t xml:space="preserve">C &amp; A Ltda – Posto Independência</t>
  </si>
  <si>
    <t xml:space="preserve">03.426.530/0001-94</t>
  </si>
  <si>
    <t xml:space="preserve">Pasta não enviada; temos só 4 protocolos do Comunic@ (processo 2018-127422/TEC/RLO-1143)</t>
  </si>
  <si>
    <t xml:space="preserve">Posto Pinto – Severiano Melo</t>
  </si>
  <si>
    <t xml:space="preserve">04.905.677/0001-20</t>
  </si>
  <si>
    <t xml:space="preserve">Pasta 45 só tem ANP; falta a licença</t>
  </si>
  <si>
    <t xml:space="preserve">Distribuidora de Gás BG</t>
  </si>
  <si>
    <t xml:space="preserve">Pasta 46 sem documentos</t>
  </si>
  <si>
    <t xml:space="preserve">Posto Saga</t>
  </si>
  <si>
    <t xml:space="preserve">04.146.342/0001-75</t>
  </si>
  <si>
    <t xml:space="preserve">Pasta 51 tem TOG e ANP; falta a licença</t>
  </si>
  <si>
    <t xml:space="preserve">Posto Bessa</t>
  </si>
  <si>
    <t xml:space="preserve">47.327.357/0001-42</t>
  </si>
  <si>
    <t xml:space="preserve">Pasta 53 sem licença</t>
  </si>
  <si>
    <t xml:space="preserve">Posto União Nunes (Patu)</t>
  </si>
  <si>
    <t xml:space="preserve">10.013.417/0001-42</t>
  </si>
  <si>
    <t xml:space="preserve">Pasta 55 só tem ANP; falta a licença</t>
  </si>
  <si>
    <t xml:space="preserve">Alexandre's Combustíveis (Posto Gangorra)</t>
  </si>
  <si>
    <t xml:space="preserve">19.688.384/0001-05</t>
  </si>
  <si>
    <t xml:space="preserve">Pasta 57 tem TOG, ANP, INMETRO e laudo; falta a licença</t>
  </si>
  <si>
    <t xml:space="preserve">Gildo Alves de Carvalho (Posto Boa Vista)</t>
  </si>
  <si>
    <t xml:space="preserve">04.993.854/0001-77</t>
  </si>
  <si>
    <t xml:space="preserve">Temos só a licença de transporte; falta a licença do posto</t>
  </si>
  <si>
    <t xml:space="preserve">Comercial Freitas (Posto Esperança, Almino Afonso)</t>
  </si>
  <si>
    <t xml:space="preserve">A licença que temos é de 2018 e venceu em 2020; falta a atual</t>
  </si>
  <si>
    <t xml:space="preserve">Posto Emily (Canapi-AL)</t>
  </si>
  <si>
    <t xml:space="preserve">Pasta 44 é de Alagoas (fora do IDEMA/RN)</t>
  </si>
  <si>
    <t xml:space="preserve">Pastas ainda não recebidas</t>
  </si>
  <si>
    <t xml:space="preserve">Nº 2 (Posto da Serra), 9 e 15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</si>
</sst>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General"/>
    <numFmt numFmtId="167" formatCode="0;[RED]\-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D5C46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D5C46"/>
        <bgColor rgb="FF34506B"/>
      </patternFill>
    </fill>
    <fill>
      <patternFill patternType="solid">
        <fgColor rgb="FFE3F0EA"/>
        <bgColor rgb="FFE2F4E8"/>
      </patternFill>
    </fill>
    <fill>
      <patternFill patternType="solid">
        <fgColor rgb="FFFFF9DB"/>
        <bgColor rgb="FFFFF3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7D2"/>
      </left>
      <right style="thin">
        <color rgb="FFD0D7D2"/>
      </right>
      <top style="thin">
        <color rgb="FFD0D7D2"/>
      </top>
      <bottom style="thin">
        <color rgb="FFD0D7D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6">
    <dxf>
      <fill>
        <patternFill patternType="solid">
          <fgColor rgb="FF1D5C4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B3261E"/>
          <bgColor rgb="FF000000"/>
        </patternFill>
      </fill>
    </dxf>
    <dxf>
      <fill>
        <patternFill patternType="solid">
          <fgColor rgb="FFE8EEF4"/>
          <bgColor rgb="FF000000"/>
        </patternFill>
      </fill>
    </dxf>
    <dxf>
      <fill>
        <patternFill patternType="solid">
          <fgColor rgb="FFFDECEA"/>
          <bgColor rgb="FF000000"/>
        </patternFill>
      </fill>
    </dxf>
    <dxf>
      <fill>
        <patternFill patternType="solid">
          <fgColor rgb="FFFFF3D6"/>
          <bgColor rgb="FF000000"/>
        </patternFill>
      </fill>
    </dxf>
    <dxf>
      <fill>
        <patternFill patternType="solid">
          <fgColor rgb="FF34506B"/>
          <bgColor rgb="FF000000"/>
        </patternFill>
      </fill>
    </dxf>
    <dxf>
      <fill>
        <patternFill patternType="solid">
          <fgColor rgb="FF8A5A0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F9DB"/>
          <bgColor rgb="FF000000"/>
        </patternFill>
      </fill>
    </dxf>
    <dxf>
      <font>
        <name val="Arial"/>
        <charset val="1"/>
        <family val="0"/>
        <b val="1"/>
        <color rgb="FFB3261E"/>
        <sz val="9"/>
      </font>
      <fill>
        <patternFill>
          <bgColor rgb="FFFDECEA"/>
        </patternFill>
      </fill>
    </dxf>
    <dxf>
      <font>
        <name val="Arial"/>
        <charset val="1"/>
        <family val="0"/>
        <b val="1"/>
        <color rgb="FF8A5A00"/>
        <sz val="9"/>
      </font>
      <fill>
        <patternFill>
          <bgColor rgb="FFFFF3D6"/>
        </patternFill>
      </fill>
    </dxf>
    <dxf>
      <font>
        <name val="Arial"/>
        <charset val="1"/>
        <family val="0"/>
        <b val="1"/>
        <color rgb="FF34506B"/>
        <sz val="9"/>
      </font>
      <fill>
        <patternFill>
          <bgColor rgb="FFE8EEF4"/>
        </patternFill>
      </fill>
    </dxf>
    <dxf>
      <font>
        <name val="Arial"/>
        <charset val="1"/>
        <family val="0"/>
        <b val="1"/>
        <color rgb="FFB3261E"/>
        <sz val="9"/>
      </font>
    </dxf>
    <dxf>
      <fill>
        <patternFill>
          <bgColor rgb="FFE2F4E8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5A00"/>
      <rgbColor rgb="FF800080"/>
      <rgbColor rgb="FF008080"/>
      <rgbColor rgb="FFC0C0C0"/>
      <rgbColor rgb="FF808080"/>
      <rgbColor rgb="FF9999FF"/>
      <rgbColor rgb="FF993366"/>
      <rgbColor rgb="FFFFF9DB"/>
      <rgbColor rgb="FFE2F4E8"/>
      <rgbColor rgb="FF660066"/>
      <rgbColor rgb="FFFF8080"/>
      <rgbColor rgb="FF0066CC"/>
      <rgbColor rgb="FFD0D7D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3F0EA"/>
      <rgbColor rgb="FFE8EEF4"/>
      <rgbColor rgb="FFFFF3D6"/>
      <rgbColor rgb="FF99CCFF"/>
      <rgbColor rgb="FFFF99CC"/>
      <rgbColor rgb="FFCC99FF"/>
      <rgbColor rgb="FFFDECEA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B3261E"/>
      <rgbColor rgb="FF993366"/>
      <rgbColor rgb="FF34506B"/>
      <rgbColor rgb="FF1D5C4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5" min="2" style="0" width="1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  <c r="B3" s="4" t="n">
        <v>46318</v>
      </c>
      <c r="C3" s="2" t="s">
        <v>3</v>
      </c>
    </row>
    <row r="5" customFormat="false" ht="15" hidden="false" customHeight="false" outlineLevel="0" collapsed="false">
      <c r="A5" s="5" t="s">
        <v>4</v>
      </c>
      <c r="B5" s="5" t="s">
        <v>5</v>
      </c>
      <c r="C5" s="5" t="s">
        <v>6</v>
      </c>
      <c r="D5" s="5" t="s">
        <v>7</v>
      </c>
      <c r="E5" s="5" t="s">
        <v>8</v>
      </c>
    </row>
    <row r="6" customFormat="false" ht="15" hidden="false" customHeight="false" outlineLevel="0" collapsed="false">
      <c r="A6" s="6" t="s">
        <v>9</v>
      </c>
      <c r="B6" s="6" t="n">
        <f aca="false">COUNTIFS(Pendências!$H$2:$H$135,$A6,Pendências!$J$2:$J$135,"Vencida")</f>
        <v>12</v>
      </c>
      <c r="C6" s="6" t="n">
        <f aca="false">COUNTIFS(Pendências!$H$2:$H$135,$A6,Pendências!$J$2:$J$135,"Sem data")</f>
        <v>0</v>
      </c>
      <c r="D6" s="6" t="n">
        <f aca="false">COUNTIFS(Pendências!$H$2:$H$135,$A6,Pendências!$J$2:$J$135,"Vence em breve")</f>
        <v>0</v>
      </c>
      <c r="E6" s="7" t="n">
        <f aca="false">SUM(B6:D6)</f>
        <v>12</v>
      </c>
    </row>
    <row r="7" customFormat="false" ht="15" hidden="false" customHeight="false" outlineLevel="0" collapsed="false">
      <c r="A7" s="6" t="s">
        <v>10</v>
      </c>
      <c r="B7" s="6" t="n">
        <f aca="false">COUNTIFS(Pendências!$H$2:$H$135,$A7,Pendências!$J$2:$J$135,"Vencida")</f>
        <v>7</v>
      </c>
      <c r="C7" s="6" t="n">
        <f aca="false">COUNTIFS(Pendências!$H$2:$H$135,$A7,Pendências!$J$2:$J$135,"Sem data")</f>
        <v>0</v>
      </c>
      <c r="D7" s="6" t="n">
        <f aca="false">COUNTIFS(Pendências!$H$2:$H$135,$A7,Pendências!$J$2:$J$135,"Vence em breve")</f>
        <v>4</v>
      </c>
      <c r="E7" s="7" t="n">
        <f aca="false">SUM(B7:D7)</f>
        <v>11</v>
      </c>
    </row>
    <row r="8" customFormat="false" ht="15" hidden="false" customHeight="false" outlineLevel="0" collapsed="false">
      <c r="A8" s="6" t="s">
        <v>11</v>
      </c>
      <c r="B8" s="6" t="n">
        <f aca="false">COUNTIFS(Pendências!$H$2:$H$135,$A8,Pendências!$J$2:$J$135,"Vencida")</f>
        <v>1</v>
      </c>
      <c r="C8" s="6" t="n">
        <f aca="false">COUNTIFS(Pendências!$H$2:$H$135,$A8,Pendências!$J$2:$J$135,"Sem data")</f>
        <v>0</v>
      </c>
      <c r="D8" s="6" t="n">
        <f aca="false">COUNTIFS(Pendências!$H$2:$H$135,$A8,Pendências!$J$2:$J$135,"Vence em breve")</f>
        <v>0</v>
      </c>
      <c r="E8" s="7" t="n">
        <f aca="false">SUM(B8:D8)</f>
        <v>1</v>
      </c>
    </row>
    <row r="9" customFormat="false" ht="15" hidden="false" customHeight="false" outlineLevel="0" collapsed="false">
      <c r="A9" s="6" t="s">
        <v>12</v>
      </c>
      <c r="B9" s="6" t="n">
        <f aca="false">COUNTIFS(Pendências!$H$2:$H$135,$A9,Pendências!$J$2:$J$135,"Vencida")</f>
        <v>6</v>
      </c>
      <c r="C9" s="6" t="n">
        <f aca="false">COUNTIFS(Pendências!$H$2:$H$135,$A9,Pendências!$J$2:$J$135,"Sem data")</f>
        <v>0</v>
      </c>
      <c r="D9" s="6" t="n">
        <f aca="false">COUNTIFS(Pendências!$H$2:$H$135,$A9,Pendências!$J$2:$J$135,"Vence em breve")</f>
        <v>0</v>
      </c>
      <c r="E9" s="7" t="n">
        <f aca="false">SUM(B9:D9)</f>
        <v>6</v>
      </c>
    </row>
    <row r="10" customFormat="false" ht="15" hidden="false" customHeight="false" outlineLevel="0" collapsed="false">
      <c r="A10" s="6" t="s">
        <v>13</v>
      </c>
      <c r="B10" s="6" t="n">
        <f aca="false">COUNTIFS(Pendências!$H$2:$H$135,$A10,Pendências!$J$2:$J$135,"Vencida")</f>
        <v>4</v>
      </c>
      <c r="C10" s="6" t="n">
        <f aca="false">COUNTIFS(Pendências!$H$2:$H$135,$A10,Pendências!$J$2:$J$135,"Sem data")</f>
        <v>0</v>
      </c>
      <c r="D10" s="6" t="n">
        <f aca="false">COUNTIFS(Pendências!$H$2:$H$135,$A10,Pendências!$J$2:$J$135,"Vence em breve")</f>
        <v>1</v>
      </c>
      <c r="E10" s="7" t="n">
        <f aca="false">SUM(B10:D10)</f>
        <v>5</v>
      </c>
    </row>
    <row r="11" customFormat="false" ht="15" hidden="false" customHeight="false" outlineLevel="0" collapsed="false">
      <c r="A11" s="6" t="s">
        <v>14</v>
      </c>
      <c r="B11" s="6" t="n">
        <f aca="false">COUNTIFS(Pendências!$H$2:$H$135,$A11,Pendências!$J$2:$J$135,"Vencida")</f>
        <v>1</v>
      </c>
      <c r="C11" s="6" t="n">
        <f aca="false">COUNTIFS(Pendências!$H$2:$H$135,$A11,Pendências!$J$2:$J$135,"Sem data")</f>
        <v>1</v>
      </c>
      <c r="D11" s="6" t="n">
        <f aca="false">COUNTIFS(Pendências!$H$2:$H$135,$A11,Pendências!$J$2:$J$135,"Vence em breve")</f>
        <v>0</v>
      </c>
      <c r="E11" s="7" t="n">
        <f aca="false">SUM(B11:D11)</f>
        <v>2</v>
      </c>
    </row>
    <row r="12" customFormat="false" ht="15" hidden="false" customHeight="false" outlineLevel="0" collapsed="false">
      <c r="A12" s="6" t="s">
        <v>15</v>
      </c>
      <c r="B12" s="6" t="n">
        <f aca="false">COUNTIFS(Pendências!$H$2:$H$135,$A12,Pendências!$J$2:$J$135,"Vencida")</f>
        <v>23</v>
      </c>
      <c r="C12" s="6" t="n">
        <f aca="false">COUNTIFS(Pendências!$H$2:$H$135,$A12,Pendências!$J$2:$J$135,"Sem data")</f>
        <v>8</v>
      </c>
      <c r="D12" s="6" t="n">
        <f aca="false">COUNTIFS(Pendências!$H$2:$H$135,$A12,Pendências!$J$2:$J$135,"Vence em breve")</f>
        <v>3</v>
      </c>
      <c r="E12" s="7" t="n">
        <f aca="false">SUM(B12:D12)</f>
        <v>34</v>
      </c>
    </row>
    <row r="13" customFormat="false" ht="15" hidden="false" customHeight="false" outlineLevel="0" collapsed="false">
      <c r="A13" s="6" t="s">
        <v>16</v>
      </c>
      <c r="B13" s="6" t="n">
        <f aca="false">COUNTIFS(Pendências!$H$2:$H$135,$A13,Pendências!$J$2:$J$135,"Vencida")</f>
        <v>36</v>
      </c>
      <c r="C13" s="6" t="n">
        <f aca="false">COUNTIFS(Pendências!$H$2:$H$135,$A13,Pendências!$J$2:$J$135,"Sem data")</f>
        <v>8</v>
      </c>
      <c r="D13" s="6" t="n">
        <f aca="false">COUNTIFS(Pendências!$H$2:$H$135,$A13,Pendências!$J$2:$J$135,"Vence em breve")</f>
        <v>0</v>
      </c>
      <c r="E13" s="7" t="n">
        <f aca="false">SUM(B13:D13)</f>
        <v>44</v>
      </c>
    </row>
    <row r="14" customFormat="false" ht="15" hidden="false" customHeight="false" outlineLevel="0" collapsed="false">
      <c r="A14" s="6" t="s">
        <v>17</v>
      </c>
      <c r="B14" s="6" t="n">
        <f aca="false">COUNTIFS(Pendências!$H$2:$H$135,$A14,Pendências!$J$2:$J$135,"Vencida")</f>
        <v>1</v>
      </c>
      <c r="C14" s="6" t="n">
        <f aca="false">COUNTIFS(Pendências!$H$2:$H$135,$A14,Pendências!$J$2:$J$135,"Sem data")</f>
        <v>4</v>
      </c>
      <c r="D14" s="6" t="n">
        <f aca="false">COUNTIFS(Pendências!$H$2:$H$135,$A14,Pendências!$J$2:$J$135,"Vence em breve")</f>
        <v>3</v>
      </c>
      <c r="E14" s="7" t="n">
        <f aca="false">SUM(B14:D14)</f>
        <v>8</v>
      </c>
    </row>
    <row r="15" customFormat="false" ht="15" hidden="false" customHeight="false" outlineLevel="0" collapsed="false">
      <c r="A15" s="6" t="s">
        <v>18</v>
      </c>
      <c r="B15" s="6" t="n">
        <f aca="false">COUNTIFS(Pendências!$H$2:$H$135,$A15,Pendências!$J$2:$J$135,"Vencida")</f>
        <v>1</v>
      </c>
      <c r="C15" s="6" t="n">
        <f aca="false">COUNTIFS(Pendências!$H$2:$H$135,$A15,Pendências!$J$2:$J$135,"Sem data")</f>
        <v>3</v>
      </c>
      <c r="D15" s="6" t="n">
        <f aca="false">COUNTIFS(Pendências!$H$2:$H$135,$A15,Pendências!$J$2:$J$135,"Vence em breve")</f>
        <v>0</v>
      </c>
      <c r="E15" s="7" t="n">
        <f aca="false">SUM(B15:D15)</f>
        <v>4</v>
      </c>
    </row>
    <row r="16" customFormat="false" ht="15" hidden="false" customHeight="false" outlineLevel="0" collapsed="false">
      <c r="A16" s="6" t="s">
        <v>19</v>
      </c>
      <c r="B16" s="6" t="n">
        <f aca="false">COUNTIFS(Pendências!$H$2:$H$135,$A16,Pendências!$J$2:$J$135,"Vencida")</f>
        <v>0</v>
      </c>
      <c r="C16" s="6" t="n">
        <f aca="false">COUNTIFS(Pendências!$H$2:$H$135,$A16,Pendências!$J$2:$J$135,"Sem data")</f>
        <v>4</v>
      </c>
      <c r="D16" s="6" t="n">
        <f aca="false">COUNTIFS(Pendências!$H$2:$H$135,$A16,Pendências!$J$2:$J$135,"Vence em breve")</f>
        <v>0</v>
      </c>
      <c r="E16" s="7" t="n">
        <f aca="false">SUM(B16:D16)</f>
        <v>4</v>
      </c>
    </row>
    <row r="17" customFormat="false" ht="15" hidden="false" customHeight="false" outlineLevel="0" collapsed="false">
      <c r="A17" s="6" t="s">
        <v>20</v>
      </c>
      <c r="B17" s="6" t="n">
        <f aca="false">COUNTIFS(Pendências!$H$2:$H$135,$A17,Pendências!$J$2:$J$135,"Vencida")</f>
        <v>0</v>
      </c>
      <c r="C17" s="6" t="n">
        <f aca="false">COUNTIFS(Pendências!$H$2:$H$135,$A17,Pendências!$J$2:$J$135,"Sem data")</f>
        <v>3</v>
      </c>
      <c r="D17" s="6" t="n">
        <f aca="false">COUNTIFS(Pendências!$H$2:$H$135,$A17,Pendências!$J$2:$J$135,"Vence em breve")</f>
        <v>0</v>
      </c>
      <c r="E17" s="7" t="n">
        <f aca="false">SUM(B17:D17)</f>
        <v>3</v>
      </c>
    </row>
    <row r="18" customFormat="false" ht="15" hidden="false" customHeight="false" outlineLevel="0" collapsed="false">
      <c r="A18" s="8" t="s">
        <v>21</v>
      </c>
      <c r="B18" s="8" t="n">
        <f aca="false">SUM(B6:B17)</f>
        <v>92</v>
      </c>
      <c r="C18" s="8" t="n">
        <f aca="false">SUM(C6:C17)</f>
        <v>31</v>
      </c>
      <c r="D18" s="8" t="n">
        <f aca="false">SUM(D6:D17)</f>
        <v>11</v>
      </c>
      <c r="E18" s="8" t="n">
        <f aca="false">SUM(E6:E17)</f>
        <v>134</v>
      </c>
    </row>
    <row r="20" customFormat="false" ht="15" hidden="false" customHeight="false" outlineLevel="0" collapsed="false">
      <c r="A20" s="3" t="s">
        <v>22</v>
      </c>
    </row>
    <row r="21" customFormat="false" ht="15" hidden="false" customHeight="false" outlineLevel="0" collapsed="false">
      <c r="A21" s="6" t="s">
        <v>23</v>
      </c>
      <c r="B21" s="6" t="n">
        <f aca="false">COUNTIF(Pendências!$P$2:$P$135,A21)</f>
        <v>134</v>
      </c>
    </row>
    <row r="22" customFormat="false" ht="15" hidden="false" customHeight="false" outlineLevel="0" collapsed="false">
      <c r="A22" s="6" t="s">
        <v>24</v>
      </c>
      <c r="B22" s="6" t="n">
        <f aca="false">COUNTIF(Pendências!$P$2:$P$135,A22)</f>
        <v>0</v>
      </c>
    </row>
    <row r="23" customFormat="false" ht="15" hidden="false" customHeight="false" outlineLevel="0" collapsed="false">
      <c r="A23" s="6" t="s">
        <v>25</v>
      </c>
      <c r="B23" s="6" t="n">
        <f aca="false">COUNTIF(Pendências!$P$2:$P$135,A23)</f>
        <v>0</v>
      </c>
    </row>
    <row r="24" customFormat="false" ht="15" hidden="false" customHeight="false" outlineLevel="0" collapsed="false">
      <c r="A24" s="6" t="s">
        <v>26</v>
      </c>
      <c r="B24" s="6" t="n">
        <f aca="false">COUNTIF(Pendências!$P$2:$P$135,A24)</f>
        <v>0</v>
      </c>
    </row>
    <row r="25" customFormat="false" ht="15" hidden="false" customHeight="false" outlineLevel="0" collapsed="false">
      <c r="A25" s="6" t="s">
        <v>27</v>
      </c>
      <c r="B25" s="6" t="n">
        <f aca="false">COUNTIF(Pendências!$P$2:$P$135,A25)</f>
        <v>0</v>
      </c>
    </row>
    <row r="27" customFormat="false" ht="15" hidden="false" customHeight="false" outlineLevel="0" collapsed="false">
      <c r="A27" s="2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"/>
    <col collapsed="false" customWidth="true" hidden="false" outlineLevel="0" max="3" min="3" style="0" width="34"/>
    <col collapsed="false" customWidth="true" hidden="false" outlineLevel="0" max="4" min="4" style="0" width="16"/>
    <col collapsed="false" customWidth="true" hidden="false" outlineLevel="0" max="5" min="5" style="0" width="19"/>
    <col collapsed="false" customWidth="true" hidden="false" outlineLevel="0" max="6" min="6" style="0" width="24"/>
    <col collapsed="false" customWidth="true" hidden="false" outlineLevel="0" max="7" min="7" style="0" width="13"/>
    <col collapsed="false" customWidth="true" hidden="false" outlineLevel="0" max="8" min="8" style="0" width="32"/>
    <col collapsed="false" customWidth="true" hidden="false" outlineLevel="0" max="9" min="9" style="0" width="9"/>
    <col collapsed="false" customWidth="true" hidden="false" outlineLevel="0" max="10" min="10" style="0" width="14"/>
    <col collapsed="false" customWidth="true" hidden="false" outlineLevel="0" max="11" min="11" style="0" width="13"/>
    <col collapsed="false" customWidth="true" hidden="false" outlineLevel="0" max="12" min="12" style="0" width="11"/>
    <col collapsed="false" customWidth="true" hidden="false" outlineLevel="0" max="13" min="13" style="0" width="44"/>
    <col collapsed="false" customWidth="true" hidden="false" outlineLevel="0" max="14" min="14" style="0" width="60"/>
    <col collapsed="false" customWidth="true" hidden="false" outlineLevel="0" max="16" min="15" style="0" width="16"/>
    <col collapsed="false" customWidth="true" hidden="false" outlineLevel="0" max="17" min="17" style="0" width="13"/>
    <col collapsed="false" customWidth="true" hidden="false" outlineLevel="0" max="18" min="18" style="0" width="36"/>
  </cols>
  <sheetData>
    <row r="1" customFormat="false" ht="42" hidden="false" customHeight="true" outlineLevel="0" collapsed="false">
      <c r="A1" s="9" t="s">
        <v>29</v>
      </c>
      <c r="B1" s="9" t="s">
        <v>30</v>
      </c>
      <c r="C1" s="9" t="s">
        <v>31</v>
      </c>
      <c r="D1" s="9" t="s">
        <v>32</v>
      </c>
      <c r="E1" s="9" t="s">
        <v>33</v>
      </c>
      <c r="F1" s="9" t="s">
        <v>34</v>
      </c>
      <c r="G1" s="9" t="s">
        <v>35</v>
      </c>
      <c r="H1" s="9" t="s">
        <v>4</v>
      </c>
      <c r="I1" s="9" t="s">
        <v>36</v>
      </c>
      <c r="J1" s="9" t="s">
        <v>37</v>
      </c>
      <c r="K1" s="9" t="s">
        <v>38</v>
      </c>
      <c r="L1" s="9" t="s">
        <v>39</v>
      </c>
      <c r="M1" s="9" t="s">
        <v>40</v>
      </c>
      <c r="N1" s="9" t="s">
        <v>41</v>
      </c>
      <c r="O1" s="9" t="s">
        <v>42</v>
      </c>
      <c r="P1" s="9" t="s">
        <v>43</v>
      </c>
      <c r="Q1" s="9" t="s">
        <v>44</v>
      </c>
      <c r="R1" s="9" t="s">
        <v>45</v>
      </c>
    </row>
    <row r="2" customFormat="false" ht="22.35" hidden="false" customHeight="false" outlineLevel="0" collapsed="false">
      <c r="A2" s="10" t="n">
        <v>1</v>
      </c>
      <c r="B2" s="11" t="s">
        <v>46</v>
      </c>
      <c r="C2" s="10" t="s">
        <v>47</v>
      </c>
      <c r="D2" s="10" t="s">
        <v>48</v>
      </c>
      <c r="E2" s="10" t="s">
        <v>49</v>
      </c>
      <c r="F2" s="10" t="s">
        <v>50</v>
      </c>
      <c r="G2" s="12" t="n">
        <v>46505</v>
      </c>
      <c r="H2" s="10" t="s">
        <v>10</v>
      </c>
      <c r="I2" s="10"/>
      <c r="J2" s="10" t="s">
        <v>51</v>
      </c>
      <c r="K2" s="12" t="n">
        <v>46344</v>
      </c>
      <c r="L2" s="13" t="n">
        <f aca="false">IF(K2="","",K2-Resumo!$B$3)</f>
        <v>26</v>
      </c>
      <c r="M2" s="10" t="s">
        <v>52</v>
      </c>
      <c r="N2" s="10" t="s">
        <v>53</v>
      </c>
      <c r="O2" s="14"/>
      <c r="P2" s="14" t="s">
        <v>23</v>
      </c>
      <c r="Q2" s="15"/>
      <c r="R2" s="14"/>
    </row>
    <row r="3" customFormat="false" ht="32.8" hidden="false" customHeight="false" outlineLevel="0" collapsed="false">
      <c r="A3" s="10" t="n">
        <v>2</v>
      </c>
      <c r="B3" s="11" t="s">
        <v>46</v>
      </c>
      <c r="C3" s="10" t="s">
        <v>47</v>
      </c>
      <c r="D3" s="10" t="s">
        <v>48</v>
      </c>
      <c r="E3" s="10" t="s">
        <v>49</v>
      </c>
      <c r="F3" s="10" t="s">
        <v>50</v>
      </c>
      <c r="G3" s="12" t="n">
        <v>46505</v>
      </c>
      <c r="H3" s="10" t="s">
        <v>15</v>
      </c>
      <c r="I3" s="10" t="n">
        <v>4</v>
      </c>
      <c r="J3" s="10" t="s">
        <v>51</v>
      </c>
      <c r="K3" s="12" t="n">
        <v>46344</v>
      </c>
      <c r="L3" s="13" t="n">
        <f aca="false">IF(K3="","",K3-Resumo!$B$3)</f>
        <v>26</v>
      </c>
      <c r="M3" s="10" t="s">
        <v>54</v>
      </c>
      <c r="N3" s="10" t="s">
        <v>55</v>
      </c>
      <c r="O3" s="14"/>
      <c r="P3" s="14" t="s">
        <v>23</v>
      </c>
      <c r="Q3" s="15"/>
      <c r="R3" s="14"/>
    </row>
    <row r="4" customFormat="false" ht="22.35" hidden="false" customHeight="false" outlineLevel="0" collapsed="false">
      <c r="A4" s="10" t="n">
        <v>3</v>
      </c>
      <c r="B4" s="11" t="s">
        <v>56</v>
      </c>
      <c r="C4" s="10" t="s">
        <v>47</v>
      </c>
      <c r="D4" s="10" t="s">
        <v>48</v>
      </c>
      <c r="E4" s="10" t="s">
        <v>49</v>
      </c>
      <c r="F4" s="10" t="s">
        <v>50</v>
      </c>
      <c r="G4" s="12" t="n">
        <v>46505</v>
      </c>
      <c r="H4" s="10" t="s">
        <v>16</v>
      </c>
      <c r="I4" s="10" t="n">
        <v>13</v>
      </c>
      <c r="J4" s="10" t="s">
        <v>57</v>
      </c>
      <c r="K4" s="12" t="n">
        <v>46281</v>
      </c>
      <c r="L4" s="13" t="n">
        <f aca="false">IF(K4="","",K4-Resumo!$B$3)</f>
        <v>-37</v>
      </c>
      <c r="M4" s="10" t="s">
        <v>58</v>
      </c>
      <c r="N4" s="10" t="s">
        <v>59</v>
      </c>
      <c r="O4" s="14"/>
      <c r="P4" s="14" t="s">
        <v>23</v>
      </c>
      <c r="Q4" s="15"/>
      <c r="R4" s="14"/>
    </row>
    <row r="5" customFormat="false" ht="32.8" hidden="false" customHeight="false" outlineLevel="0" collapsed="false">
      <c r="A5" s="10" t="n">
        <v>4</v>
      </c>
      <c r="B5" s="11" t="s">
        <v>56</v>
      </c>
      <c r="C5" s="10" t="s">
        <v>60</v>
      </c>
      <c r="D5" s="10" t="s">
        <v>61</v>
      </c>
      <c r="E5" s="10" t="s">
        <v>62</v>
      </c>
      <c r="F5" s="10" t="s">
        <v>63</v>
      </c>
      <c r="G5" s="12" t="n">
        <v>47374</v>
      </c>
      <c r="H5" s="10" t="s">
        <v>15</v>
      </c>
      <c r="I5" s="10" t="n">
        <v>5</v>
      </c>
      <c r="J5" s="10" t="s">
        <v>57</v>
      </c>
      <c r="K5" s="12" t="n">
        <v>45995</v>
      </c>
      <c r="L5" s="13" t="n">
        <f aca="false">IF(K5="","",K5-Resumo!$B$3)</f>
        <v>-323</v>
      </c>
      <c r="M5" s="10" t="s">
        <v>64</v>
      </c>
      <c r="N5" s="10" t="s">
        <v>55</v>
      </c>
      <c r="O5" s="14"/>
      <c r="P5" s="14" t="s">
        <v>23</v>
      </c>
      <c r="Q5" s="15"/>
      <c r="R5" s="14"/>
    </row>
    <row r="6" customFormat="false" ht="22.35" hidden="false" customHeight="false" outlineLevel="0" collapsed="false">
      <c r="A6" s="10" t="n">
        <v>5</v>
      </c>
      <c r="B6" s="11" t="s">
        <v>56</v>
      </c>
      <c r="C6" s="10" t="s">
        <v>60</v>
      </c>
      <c r="D6" s="10" t="s">
        <v>61</v>
      </c>
      <c r="E6" s="10" t="s">
        <v>62</v>
      </c>
      <c r="F6" s="10" t="s">
        <v>63</v>
      </c>
      <c r="G6" s="12" t="n">
        <v>47374</v>
      </c>
      <c r="H6" s="10" t="s">
        <v>16</v>
      </c>
      <c r="I6" s="10" t="n">
        <v>16</v>
      </c>
      <c r="J6" s="10" t="s">
        <v>57</v>
      </c>
      <c r="K6" s="12" t="n">
        <v>46281</v>
      </c>
      <c r="L6" s="13" t="n">
        <f aca="false">IF(K6="","",K6-Resumo!$B$3)</f>
        <v>-37</v>
      </c>
      <c r="M6" s="10" t="s">
        <v>58</v>
      </c>
      <c r="N6" s="10" t="s">
        <v>59</v>
      </c>
      <c r="O6" s="14"/>
      <c r="P6" s="14" t="s">
        <v>23</v>
      </c>
      <c r="Q6" s="15"/>
      <c r="R6" s="14"/>
    </row>
    <row r="7" customFormat="false" ht="32.8" hidden="false" customHeight="false" outlineLevel="0" collapsed="false">
      <c r="A7" s="10" t="n">
        <v>6</v>
      </c>
      <c r="B7" s="11" t="s">
        <v>56</v>
      </c>
      <c r="C7" s="10" t="s">
        <v>65</v>
      </c>
      <c r="D7" s="10" t="s">
        <v>66</v>
      </c>
      <c r="E7" s="10" t="s">
        <v>67</v>
      </c>
      <c r="F7" s="10" t="s">
        <v>68</v>
      </c>
      <c r="G7" s="12" t="n">
        <v>47584</v>
      </c>
      <c r="H7" s="10" t="s">
        <v>15</v>
      </c>
      <c r="I7" s="10" t="n">
        <v>5</v>
      </c>
      <c r="J7" s="10" t="s">
        <v>57</v>
      </c>
      <c r="K7" s="12" t="n">
        <v>46309</v>
      </c>
      <c r="L7" s="13" t="n">
        <f aca="false">IF(K7="","",K7-Resumo!$B$3)</f>
        <v>-9</v>
      </c>
      <c r="M7" s="10" t="s">
        <v>69</v>
      </c>
      <c r="N7" s="10" t="s">
        <v>55</v>
      </c>
      <c r="O7" s="14"/>
      <c r="P7" s="14" t="s">
        <v>23</v>
      </c>
      <c r="Q7" s="15"/>
      <c r="R7" s="14"/>
    </row>
    <row r="8" customFormat="false" ht="22.35" hidden="false" customHeight="false" outlineLevel="0" collapsed="false">
      <c r="A8" s="10" t="n">
        <v>7</v>
      </c>
      <c r="B8" s="11" t="s">
        <v>56</v>
      </c>
      <c r="C8" s="10" t="s">
        <v>65</v>
      </c>
      <c r="D8" s="10" t="s">
        <v>66</v>
      </c>
      <c r="E8" s="10" t="s">
        <v>67</v>
      </c>
      <c r="F8" s="10" t="s">
        <v>68</v>
      </c>
      <c r="G8" s="12" t="n">
        <v>47584</v>
      </c>
      <c r="H8" s="10" t="s">
        <v>16</v>
      </c>
      <c r="I8" s="10" t="n">
        <v>17</v>
      </c>
      <c r="J8" s="10" t="s">
        <v>57</v>
      </c>
      <c r="K8" s="12" t="n">
        <v>46281</v>
      </c>
      <c r="L8" s="13" t="n">
        <f aca="false">IF(K8="","",K8-Resumo!$B$3)</f>
        <v>-37</v>
      </c>
      <c r="M8" s="10" t="s">
        <v>58</v>
      </c>
      <c r="N8" s="10" t="s">
        <v>59</v>
      </c>
      <c r="O8" s="14"/>
      <c r="P8" s="14" t="s">
        <v>23</v>
      </c>
      <c r="Q8" s="15"/>
      <c r="R8" s="14"/>
    </row>
    <row r="9" customFormat="false" ht="22.35" hidden="false" customHeight="false" outlineLevel="0" collapsed="false">
      <c r="A9" s="10" t="n">
        <v>8</v>
      </c>
      <c r="B9" s="11" t="s">
        <v>46</v>
      </c>
      <c r="C9" s="10" t="s">
        <v>70</v>
      </c>
      <c r="D9" s="10" t="s">
        <v>71</v>
      </c>
      <c r="E9" s="10" t="s">
        <v>72</v>
      </c>
      <c r="F9" s="10" t="s">
        <v>73</v>
      </c>
      <c r="G9" s="12" t="n">
        <v>46546</v>
      </c>
      <c r="H9" s="10" t="s">
        <v>16</v>
      </c>
      <c r="I9" s="10" t="n">
        <v>14</v>
      </c>
      <c r="J9" s="10" t="s">
        <v>6</v>
      </c>
      <c r="K9" s="12"/>
      <c r="L9" s="13" t="str">
        <f aca="false">IF(K9="","",K9-Resumo!$B$3)</f>
        <v/>
      </c>
      <c r="M9" s="10" t="s">
        <v>74</v>
      </c>
      <c r="N9" s="10" t="s">
        <v>59</v>
      </c>
      <c r="O9" s="14"/>
      <c r="P9" s="14" t="s">
        <v>23</v>
      </c>
      <c r="Q9" s="15"/>
      <c r="R9" s="14"/>
    </row>
    <row r="10" customFormat="false" ht="22.35" hidden="false" customHeight="false" outlineLevel="0" collapsed="false">
      <c r="A10" s="10" t="n">
        <v>9</v>
      </c>
      <c r="B10" s="11" t="s">
        <v>75</v>
      </c>
      <c r="C10" s="10" t="s">
        <v>76</v>
      </c>
      <c r="D10" s="10" t="s">
        <v>77</v>
      </c>
      <c r="E10" s="10" t="s">
        <v>78</v>
      </c>
      <c r="F10" s="10" t="s">
        <v>79</v>
      </c>
      <c r="G10" s="12" t="n">
        <v>46764</v>
      </c>
      <c r="H10" s="10" t="s">
        <v>12</v>
      </c>
      <c r="I10" s="10" t="n">
        <v>21</v>
      </c>
      <c r="J10" s="10" t="s">
        <v>57</v>
      </c>
      <c r="K10" s="12" t="n">
        <v>46101</v>
      </c>
      <c r="L10" s="13" t="n">
        <f aca="false">IF(K10="","",K10-Resumo!$B$3)</f>
        <v>-217</v>
      </c>
      <c r="M10" s="10" t="s">
        <v>80</v>
      </c>
      <c r="N10" s="10" t="s">
        <v>81</v>
      </c>
      <c r="O10" s="14"/>
      <c r="P10" s="14" t="s">
        <v>23</v>
      </c>
      <c r="Q10" s="15"/>
      <c r="R10" s="14"/>
    </row>
    <row r="11" customFormat="false" ht="15" hidden="false" customHeight="false" outlineLevel="0" collapsed="false">
      <c r="A11" s="10" t="n">
        <v>10</v>
      </c>
      <c r="B11" s="11" t="s">
        <v>75</v>
      </c>
      <c r="C11" s="10" t="s">
        <v>76</v>
      </c>
      <c r="D11" s="10" t="s">
        <v>77</v>
      </c>
      <c r="E11" s="10" t="s">
        <v>78</v>
      </c>
      <c r="F11" s="10" t="s">
        <v>79</v>
      </c>
      <c r="G11" s="12" t="n">
        <v>46764</v>
      </c>
      <c r="H11" s="10" t="s">
        <v>13</v>
      </c>
      <c r="I11" s="10" t="n">
        <v>19</v>
      </c>
      <c r="J11" s="10" t="s">
        <v>57</v>
      </c>
      <c r="K11" s="12" t="n">
        <v>46181</v>
      </c>
      <c r="L11" s="13" t="n">
        <f aca="false">IF(K11="","",K11-Resumo!$B$3)</f>
        <v>-137</v>
      </c>
      <c r="M11" s="10" t="s">
        <v>82</v>
      </c>
      <c r="N11" s="10" t="s">
        <v>83</v>
      </c>
      <c r="O11" s="14"/>
      <c r="P11" s="14" t="s">
        <v>23</v>
      </c>
      <c r="Q11" s="15"/>
      <c r="R11" s="14"/>
    </row>
    <row r="12" customFormat="false" ht="32.8" hidden="false" customHeight="false" outlineLevel="0" collapsed="false">
      <c r="A12" s="10" t="n">
        <v>11</v>
      </c>
      <c r="B12" s="11" t="s">
        <v>56</v>
      </c>
      <c r="C12" s="10" t="s">
        <v>76</v>
      </c>
      <c r="D12" s="10" t="s">
        <v>77</v>
      </c>
      <c r="E12" s="10" t="s">
        <v>78</v>
      </c>
      <c r="F12" s="10" t="s">
        <v>79</v>
      </c>
      <c r="G12" s="12" t="n">
        <v>46764</v>
      </c>
      <c r="H12" s="10" t="s">
        <v>15</v>
      </c>
      <c r="I12" s="10" t="n">
        <v>5</v>
      </c>
      <c r="J12" s="10" t="s">
        <v>57</v>
      </c>
      <c r="K12" s="12" t="n">
        <v>46150</v>
      </c>
      <c r="L12" s="13" t="n">
        <f aca="false">IF(K12="","",K12-Resumo!$B$3)</f>
        <v>-168</v>
      </c>
      <c r="M12" s="10" t="s">
        <v>84</v>
      </c>
      <c r="N12" s="10" t="s">
        <v>55</v>
      </c>
      <c r="O12" s="14"/>
      <c r="P12" s="14" t="s">
        <v>23</v>
      </c>
      <c r="Q12" s="15"/>
      <c r="R12" s="14"/>
    </row>
    <row r="13" customFormat="false" ht="22.35" hidden="false" customHeight="false" outlineLevel="0" collapsed="false">
      <c r="A13" s="10" t="n">
        <v>12</v>
      </c>
      <c r="B13" s="11" t="s">
        <v>56</v>
      </c>
      <c r="C13" s="10" t="s">
        <v>76</v>
      </c>
      <c r="D13" s="10" t="s">
        <v>77</v>
      </c>
      <c r="E13" s="10" t="s">
        <v>78</v>
      </c>
      <c r="F13" s="10" t="s">
        <v>79</v>
      </c>
      <c r="G13" s="12" t="n">
        <v>46764</v>
      </c>
      <c r="H13" s="10" t="s">
        <v>16</v>
      </c>
      <c r="I13" s="10" t="n">
        <v>16</v>
      </c>
      <c r="J13" s="10" t="s">
        <v>57</v>
      </c>
      <c r="K13" s="12" t="n">
        <v>46282</v>
      </c>
      <c r="L13" s="13" t="n">
        <f aca="false">IF(K13="","",K13-Resumo!$B$3)</f>
        <v>-36</v>
      </c>
      <c r="M13" s="10" t="s">
        <v>85</v>
      </c>
      <c r="N13" s="10" t="s">
        <v>59</v>
      </c>
      <c r="O13" s="14"/>
      <c r="P13" s="14" t="s">
        <v>23</v>
      </c>
      <c r="Q13" s="15"/>
      <c r="R13" s="14"/>
    </row>
    <row r="14" customFormat="false" ht="22.35" hidden="false" customHeight="false" outlineLevel="0" collapsed="false">
      <c r="A14" s="10" t="n">
        <v>13</v>
      </c>
      <c r="B14" s="11" t="s">
        <v>46</v>
      </c>
      <c r="C14" s="10" t="s">
        <v>76</v>
      </c>
      <c r="D14" s="10" t="s">
        <v>77</v>
      </c>
      <c r="E14" s="10" t="s">
        <v>78</v>
      </c>
      <c r="F14" s="10" t="s">
        <v>79</v>
      </c>
      <c r="G14" s="12" t="n">
        <v>46764</v>
      </c>
      <c r="H14" s="10" t="s">
        <v>17</v>
      </c>
      <c r="I14" s="10" t="n">
        <v>15</v>
      </c>
      <c r="J14" s="10" t="s">
        <v>6</v>
      </c>
      <c r="K14" s="12"/>
      <c r="L14" s="13" t="str">
        <f aca="false">IF(K14="","",K14-Resumo!$B$3)</f>
        <v/>
      </c>
      <c r="M14" s="10" t="s">
        <v>74</v>
      </c>
      <c r="N14" s="10" t="s">
        <v>86</v>
      </c>
      <c r="O14" s="14"/>
      <c r="P14" s="14" t="s">
        <v>23</v>
      </c>
      <c r="Q14" s="15"/>
      <c r="R14" s="14"/>
    </row>
    <row r="15" customFormat="false" ht="22.35" hidden="false" customHeight="false" outlineLevel="0" collapsed="false">
      <c r="A15" s="10" t="n">
        <v>14</v>
      </c>
      <c r="B15" s="11" t="s">
        <v>75</v>
      </c>
      <c r="C15" s="10" t="s">
        <v>76</v>
      </c>
      <c r="D15" s="10" t="s">
        <v>77</v>
      </c>
      <c r="E15" s="10" t="s">
        <v>78</v>
      </c>
      <c r="F15" s="10" t="s">
        <v>79</v>
      </c>
      <c r="G15" s="12" t="n">
        <v>46764</v>
      </c>
      <c r="H15" s="10" t="s">
        <v>18</v>
      </c>
      <c r="I15" s="10" t="n">
        <v>15</v>
      </c>
      <c r="J15" s="10" t="s">
        <v>57</v>
      </c>
      <c r="K15" s="12" t="n">
        <v>46042</v>
      </c>
      <c r="L15" s="13" t="n">
        <f aca="false">IF(K15="","",K15-Resumo!$B$3)</f>
        <v>-276</v>
      </c>
      <c r="M15" s="10" t="s">
        <v>87</v>
      </c>
      <c r="N15" s="10" t="s">
        <v>88</v>
      </c>
      <c r="O15" s="14"/>
      <c r="P15" s="14" t="s">
        <v>23</v>
      </c>
      <c r="Q15" s="15"/>
      <c r="R15" s="14"/>
    </row>
    <row r="16" customFormat="false" ht="22.35" hidden="false" customHeight="false" outlineLevel="0" collapsed="false">
      <c r="A16" s="10" t="n">
        <v>15</v>
      </c>
      <c r="B16" s="11" t="s">
        <v>46</v>
      </c>
      <c r="C16" s="10" t="s">
        <v>76</v>
      </c>
      <c r="D16" s="10" t="s">
        <v>77</v>
      </c>
      <c r="E16" s="10" t="s">
        <v>78</v>
      </c>
      <c r="F16" s="10" t="s">
        <v>79</v>
      </c>
      <c r="G16" s="12" t="n">
        <v>46764</v>
      </c>
      <c r="H16" s="10" t="s">
        <v>19</v>
      </c>
      <c r="I16" s="10" t="n">
        <v>8</v>
      </c>
      <c r="J16" s="10" t="s">
        <v>6</v>
      </c>
      <c r="K16" s="12"/>
      <c r="L16" s="13" t="str">
        <f aca="false">IF(K16="","",K16-Resumo!$B$3)</f>
        <v/>
      </c>
      <c r="M16" s="10" t="s">
        <v>74</v>
      </c>
      <c r="N16" s="10" t="s">
        <v>89</v>
      </c>
      <c r="O16" s="14"/>
      <c r="P16" s="14" t="s">
        <v>23</v>
      </c>
      <c r="Q16" s="15"/>
      <c r="R16" s="14"/>
    </row>
    <row r="17" customFormat="false" ht="22.35" hidden="false" customHeight="false" outlineLevel="0" collapsed="false">
      <c r="A17" s="10" t="n">
        <v>16</v>
      </c>
      <c r="B17" s="11" t="s">
        <v>56</v>
      </c>
      <c r="C17" s="10" t="s">
        <v>90</v>
      </c>
      <c r="D17" s="10" t="s">
        <v>91</v>
      </c>
      <c r="E17" s="10" t="s">
        <v>92</v>
      </c>
      <c r="F17" s="10" t="s">
        <v>93</v>
      </c>
      <c r="G17" s="12" t="n">
        <v>46374</v>
      </c>
      <c r="H17" s="10" t="s">
        <v>9</v>
      </c>
      <c r="I17" s="10" t="n">
        <v>21</v>
      </c>
      <c r="J17" s="10" t="s">
        <v>57</v>
      </c>
      <c r="K17" s="12" t="n">
        <v>46254</v>
      </c>
      <c r="L17" s="13" t="n">
        <f aca="false">IF(K17="","",K17-Resumo!$B$3)</f>
        <v>-64</v>
      </c>
      <c r="M17" s="10" t="s">
        <v>94</v>
      </c>
      <c r="N17" s="10" t="s">
        <v>95</v>
      </c>
      <c r="O17" s="14"/>
      <c r="P17" s="14" t="s">
        <v>23</v>
      </c>
      <c r="Q17" s="15"/>
      <c r="R17" s="14"/>
    </row>
    <row r="18" customFormat="false" ht="22.35" hidden="false" customHeight="false" outlineLevel="0" collapsed="false">
      <c r="A18" s="10" t="n">
        <v>17</v>
      </c>
      <c r="B18" s="11" t="s">
        <v>75</v>
      </c>
      <c r="C18" s="10" t="s">
        <v>90</v>
      </c>
      <c r="D18" s="10" t="s">
        <v>91</v>
      </c>
      <c r="E18" s="10" t="s">
        <v>92</v>
      </c>
      <c r="F18" s="10" t="s">
        <v>93</v>
      </c>
      <c r="G18" s="12" t="n">
        <v>46374</v>
      </c>
      <c r="H18" s="10" t="s">
        <v>10</v>
      </c>
      <c r="I18" s="10"/>
      <c r="J18" s="10" t="s">
        <v>57</v>
      </c>
      <c r="K18" s="12" t="n">
        <v>46303</v>
      </c>
      <c r="L18" s="13" t="n">
        <f aca="false">IF(K18="","",K18-Resumo!$B$3)</f>
        <v>-15</v>
      </c>
      <c r="M18" s="10" t="s">
        <v>96</v>
      </c>
      <c r="N18" s="10" t="s">
        <v>53</v>
      </c>
      <c r="O18" s="14"/>
      <c r="P18" s="14" t="s">
        <v>23</v>
      </c>
      <c r="Q18" s="15"/>
      <c r="R18" s="14"/>
    </row>
    <row r="19" customFormat="false" ht="32.8" hidden="false" customHeight="false" outlineLevel="0" collapsed="false">
      <c r="A19" s="10" t="n">
        <v>18</v>
      </c>
      <c r="B19" s="11" t="s">
        <v>46</v>
      </c>
      <c r="C19" s="10" t="s">
        <v>90</v>
      </c>
      <c r="D19" s="10" t="s">
        <v>91</v>
      </c>
      <c r="E19" s="10" t="s">
        <v>92</v>
      </c>
      <c r="F19" s="10" t="s">
        <v>93</v>
      </c>
      <c r="G19" s="12" t="n">
        <v>46374</v>
      </c>
      <c r="H19" s="10" t="s">
        <v>15</v>
      </c>
      <c r="I19" s="10" t="n">
        <v>5</v>
      </c>
      <c r="J19" s="10" t="s">
        <v>6</v>
      </c>
      <c r="K19" s="12"/>
      <c r="L19" s="13" t="str">
        <f aca="false">IF(K19="","",K19-Resumo!$B$3)</f>
        <v/>
      </c>
      <c r="M19" s="10" t="s">
        <v>74</v>
      </c>
      <c r="N19" s="10" t="s">
        <v>55</v>
      </c>
      <c r="O19" s="14"/>
      <c r="P19" s="14" t="s">
        <v>23</v>
      </c>
      <c r="Q19" s="15"/>
      <c r="R19" s="14"/>
    </row>
    <row r="20" customFormat="false" ht="22.35" hidden="false" customHeight="false" outlineLevel="0" collapsed="false">
      <c r="A20" s="10" t="n">
        <v>19</v>
      </c>
      <c r="B20" s="11" t="s">
        <v>46</v>
      </c>
      <c r="C20" s="10" t="s">
        <v>90</v>
      </c>
      <c r="D20" s="10" t="s">
        <v>91</v>
      </c>
      <c r="E20" s="10" t="s">
        <v>92</v>
      </c>
      <c r="F20" s="10" t="s">
        <v>93</v>
      </c>
      <c r="G20" s="12" t="n">
        <v>46374</v>
      </c>
      <c r="H20" s="10" t="s">
        <v>16</v>
      </c>
      <c r="I20" s="10" t="n">
        <v>17</v>
      </c>
      <c r="J20" s="10" t="s">
        <v>6</v>
      </c>
      <c r="K20" s="12"/>
      <c r="L20" s="13" t="str">
        <f aca="false">IF(K20="","",K20-Resumo!$B$3)</f>
        <v/>
      </c>
      <c r="M20" s="10" t="s">
        <v>74</v>
      </c>
      <c r="N20" s="10" t="s">
        <v>59</v>
      </c>
      <c r="O20" s="14"/>
      <c r="P20" s="14" t="s">
        <v>23</v>
      </c>
      <c r="Q20" s="15"/>
      <c r="R20" s="14"/>
    </row>
    <row r="21" customFormat="false" ht="22.35" hidden="false" customHeight="false" outlineLevel="0" collapsed="false">
      <c r="A21" s="10" t="n">
        <v>20</v>
      </c>
      <c r="B21" s="11" t="s">
        <v>46</v>
      </c>
      <c r="C21" s="10" t="s">
        <v>97</v>
      </c>
      <c r="D21" s="10" t="s">
        <v>98</v>
      </c>
      <c r="E21" s="10" t="s">
        <v>99</v>
      </c>
      <c r="F21" s="10" t="s">
        <v>100</v>
      </c>
      <c r="G21" s="12" t="n">
        <v>48100</v>
      </c>
      <c r="H21" s="10" t="s">
        <v>16</v>
      </c>
      <c r="I21" s="10" t="n">
        <v>16</v>
      </c>
      <c r="J21" s="10" t="s">
        <v>6</v>
      </c>
      <c r="K21" s="12"/>
      <c r="L21" s="13" t="str">
        <f aca="false">IF(K21="","",K21-Resumo!$B$3)</f>
        <v/>
      </c>
      <c r="M21" s="10" t="s">
        <v>74</v>
      </c>
      <c r="N21" s="10" t="s">
        <v>59</v>
      </c>
      <c r="O21" s="14"/>
      <c r="P21" s="14" t="s">
        <v>23</v>
      </c>
      <c r="Q21" s="15"/>
      <c r="R21" s="14"/>
    </row>
    <row r="22" customFormat="false" ht="22.35" hidden="false" customHeight="false" outlineLevel="0" collapsed="false">
      <c r="A22" s="10" t="n">
        <v>21</v>
      </c>
      <c r="B22" s="11" t="s">
        <v>56</v>
      </c>
      <c r="C22" s="10" t="s">
        <v>101</v>
      </c>
      <c r="D22" s="10" t="s">
        <v>102</v>
      </c>
      <c r="E22" s="10" t="s">
        <v>103</v>
      </c>
      <c r="F22" s="10" t="s">
        <v>104</v>
      </c>
      <c r="G22" s="12" t="n">
        <v>44080</v>
      </c>
      <c r="H22" s="10" t="s">
        <v>9</v>
      </c>
      <c r="I22" s="10" t="n">
        <v>24</v>
      </c>
      <c r="J22" s="10" t="s">
        <v>57</v>
      </c>
      <c r="K22" s="12" t="n">
        <v>43960</v>
      </c>
      <c r="L22" s="13" t="n">
        <f aca="false">IF(K22="","",K22-Resumo!$B$3)</f>
        <v>-2358</v>
      </c>
      <c r="M22" s="10" t="s">
        <v>105</v>
      </c>
      <c r="N22" s="10" t="s">
        <v>95</v>
      </c>
      <c r="O22" s="14"/>
      <c r="P22" s="14" t="s">
        <v>23</v>
      </c>
      <c r="Q22" s="15"/>
      <c r="R22" s="14"/>
    </row>
    <row r="23" customFormat="false" ht="22.35" hidden="false" customHeight="false" outlineLevel="0" collapsed="false">
      <c r="A23" s="10" t="n">
        <v>22</v>
      </c>
      <c r="B23" s="11" t="s">
        <v>46</v>
      </c>
      <c r="C23" s="10" t="s">
        <v>101</v>
      </c>
      <c r="D23" s="10" t="s">
        <v>102</v>
      </c>
      <c r="E23" s="10" t="s">
        <v>103</v>
      </c>
      <c r="F23" s="10" t="s">
        <v>104</v>
      </c>
      <c r="G23" s="12" t="n">
        <v>44080</v>
      </c>
      <c r="H23" s="10" t="s">
        <v>10</v>
      </c>
      <c r="I23" s="10"/>
      <c r="J23" s="10" t="s">
        <v>51</v>
      </c>
      <c r="K23" s="12" t="n">
        <v>46346</v>
      </c>
      <c r="L23" s="13" t="n">
        <f aca="false">IF(K23="","",K23-Resumo!$B$3)</f>
        <v>28</v>
      </c>
      <c r="M23" s="10" t="s">
        <v>106</v>
      </c>
      <c r="N23" s="10" t="s">
        <v>53</v>
      </c>
      <c r="O23" s="14"/>
      <c r="P23" s="14" t="s">
        <v>23</v>
      </c>
      <c r="Q23" s="15"/>
      <c r="R23" s="14"/>
    </row>
    <row r="24" customFormat="false" ht="32.8" hidden="false" customHeight="false" outlineLevel="0" collapsed="false">
      <c r="A24" s="10" t="n">
        <v>23</v>
      </c>
      <c r="B24" s="11" t="s">
        <v>46</v>
      </c>
      <c r="C24" s="10" t="s">
        <v>101</v>
      </c>
      <c r="D24" s="10" t="s">
        <v>102</v>
      </c>
      <c r="E24" s="10" t="s">
        <v>103</v>
      </c>
      <c r="F24" s="10" t="s">
        <v>104</v>
      </c>
      <c r="G24" s="12" t="n">
        <v>44080</v>
      </c>
      <c r="H24" s="10" t="s">
        <v>15</v>
      </c>
      <c r="I24" s="10" t="n">
        <v>5</v>
      </c>
      <c r="J24" s="10" t="s">
        <v>6</v>
      </c>
      <c r="K24" s="12"/>
      <c r="L24" s="13" t="str">
        <f aca="false">IF(K24="","",K24-Resumo!$B$3)</f>
        <v/>
      </c>
      <c r="M24" s="10" t="s">
        <v>74</v>
      </c>
      <c r="N24" s="10" t="s">
        <v>55</v>
      </c>
      <c r="O24" s="14"/>
      <c r="P24" s="14" t="s">
        <v>23</v>
      </c>
      <c r="Q24" s="15"/>
      <c r="R24" s="14"/>
    </row>
    <row r="25" customFormat="false" ht="22.35" hidden="false" customHeight="false" outlineLevel="0" collapsed="false">
      <c r="A25" s="10" t="n">
        <v>24</v>
      </c>
      <c r="B25" s="11" t="s">
        <v>46</v>
      </c>
      <c r="C25" s="10" t="s">
        <v>101</v>
      </c>
      <c r="D25" s="10" t="s">
        <v>102</v>
      </c>
      <c r="E25" s="10" t="s">
        <v>103</v>
      </c>
      <c r="F25" s="10" t="s">
        <v>104</v>
      </c>
      <c r="G25" s="12" t="n">
        <v>44080</v>
      </c>
      <c r="H25" s="10" t="s">
        <v>16</v>
      </c>
      <c r="I25" s="10" t="n">
        <v>15</v>
      </c>
      <c r="J25" s="10" t="s">
        <v>6</v>
      </c>
      <c r="K25" s="12"/>
      <c r="L25" s="13" t="str">
        <f aca="false">IF(K25="","",K25-Resumo!$B$3)</f>
        <v/>
      </c>
      <c r="M25" s="10" t="s">
        <v>74</v>
      </c>
      <c r="N25" s="10" t="s">
        <v>59</v>
      </c>
      <c r="O25" s="14"/>
      <c r="P25" s="14" t="s">
        <v>23</v>
      </c>
      <c r="Q25" s="15"/>
      <c r="R25" s="14"/>
    </row>
    <row r="26" customFormat="false" ht="32.8" hidden="false" customHeight="false" outlineLevel="0" collapsed="false">
      <c r="A26" s="10" t="n">
        <v>25</v>
      </c>
      <c r="B26" s="11" t="s">
        <v>46</v>
      </c>
      <c r="C26" s="10" t="s">
        <v>107</v>
      </c>
      <c r="D26" s="10" t="s">
        <v>108</v>
      </c>
      <c r="E26" s="10" t="s">
        <v>109</v>
      </c>
      <c r="F26" s="10" t="s">
        <v>110</v>
      </c>
      <c r="G26" s="12" t="n">
        <v>46595</v>
      </c>
      <c r="H26" s="10" t="s">
        <v>15</v>
      </c>
      <c r="I26" s="10" t="n">
        <v>5</v>
      </c>
      <c r="J26" s="10" t="s">
        <v>6</v>
      </c>
      <c r="K26" s="12"/>
      <c r="L26" s="13" t="str">
        <f aca="false">IF(K26="","",K26-Resumo!$B$3)</f>
        <v/>
      </c>
      <c r="M26" s="10" t="s">
        <v>74</v>
      </c>
      <c r="N26" s="10" t="s">
        <v>55</v>
      </c>
      <c r="O26" s="14"/>
      <c r="P26" s="14" t="s">
        <v>23</v>
      </c>
      <c r="Q26" s="15"/>
      <c r="R26" s="14"/>
    </row>
    <row r="27" customFormat="false" ht="22.35" hidden="false" customHeight="false" outlineLevel="0" collapsed="false">
      <c r="A27" s="10" t="n">
        <v>26</v>
      </c>
      <c r="B27" s="11" t="s">
        <v>46</v>
      </c>
      <c r="C27" s="10" t="s">
        <v>107</v>
      </c>
      <c r="D27" s="10" t="s">
        <v>108</v>
      </c>
      <c r="E27" s="10" t="s">
        <v>109</v>
      </c>
      <c r="F27" s="10" t="s">
        <v>110</v>
      </c>
      <c r="G27" s="12" t="n">
        <v>46595</v>
      </c>
      <c r="H27" s="10" t="s">
        <v>16</v>
      </c>
      <c r="I27" s="10" t="n">
        <v>15</v>
      </c>
      <c r="J27" s="10" t="s">
        <v>6</v>
      </c>
      <c r="K27" s="12"/>
      <c r="L27" s="13" t="str">
        <f aca="false">IF(K27="","",K27-Resumo!$B$3)</f>
        <v/>
      </c>
      <c r="M27" s="10" t="s">
        <v>74</v>
      </c>
      <c r="N27" s="10" t="s">
        <v>59</v>
      </c>
      <c r="O27" s="14"/>
      <c r="P27" s="14" t="s">
        <v>23</v>
      </c>
      <c r="Q27" s="15"/>
      <c r="R27" s="14"/>
    </row>
    <row r="28" customFormat="false" ht="22.35" hidden="false" customHeight="false" outlineLevel="0" collapsed="false">
      <c r="A28" s="10" t="n">
        <v>27</v>
      </c>
      <c r="B28" s="11" t="s">
        <v>75</v>
      </c>
      <c r="C28" s="10" t="s">
        <v>111</v>
      </c>
      <c r="D28" s="10" t="s">
        <v>112</v>
      </c>
      <c r="E28" s="10" t="s">
        <v>113</v>
      </c>
      <c r="F28" s="10" t="s">
        <v>114</v>
      </c>
      <c r="G28" s="12" t="n">
        <v>48215</v>
      </c>
      <c r="H28" s="10" t="s">
        <v>12</v>
      </c>
      <c r="I28" s="10" t="n">
        <v>19</v>
      </c>
      <c r="J28" s="10" t="s">
        <v>57</v>
      </c>
      <c r="K28" s="12" t="n">
        <v>46034</v>
      </c>
      <c r="L28" s="13" t="n">
        <f aca="false">IF(K28="","",K28-Resumo!$B$3)</f>
        <v>-284</v>
      </c>
      <c r="M28" s="10" t="s">
        <v>80</v>
      </c>
      <c r="N28" s="10" t="s">
        <v>81</v>
      </c>
      <c r="O28" s="14"/>
      <c r="P28" s="14" t="s">
        <v>23</v>
      </c>
      <c r="Q28" s="15"/>
      <c r="R28" s="14"/>
    </row>
    <row r="29" customFormat="false" ht="22.35" hidden="false" customHeight="false" outlineLevel="0" collapsed="false">
      <c r="A29" s="10" t="n">
        <v>28</v>
      </c>
      <c r="B29" s="11" t="s">
        <v>75</v>
      </c>
      <c r="C29" s="10" t="s">
        <v>111</v>
      </c>
      <c r="D29" s="10" t="s">
        <v>112</v>
      </c>
      <c r="E29" s="10" t="s">
        <v>113</v>
      </c>
      <c r="F29" s="10" t="s">
        <v>114</v>
      </c>
      <c r="G29" s="12" t="n">
        <v>48215</v>
      </c>
      <c r="H29" s="10" t="s">
        <v>13</v>
      </c>
      <c r="I29" s="10" t="n">
        <v>17</v>
      </c>
      <c r="J29" s="10" t="s">
        <v>57</v>
      </c>
      <c r="K29" s="12" t="n">
        <v>46114</v>
      </c>
      <c r="L29" s="13" t="n">
        <f aca="false">IF(K29="","",K29-Resumo!$B$3)</f>
        <v>-204</v>
      </c>
      <c r="M29" s="10" t="s">
        <v>82</v>
      </c>
      <c r="N29" s="10" t="s">
        <v>83</v>
      </c>
      <c r="O29" s="14"/>
      <c r="P29" s="14" t="s">
        <v>23</v>
      </c>
      <c r="Q29" s="15"/>
      <c r="R29" s="14"/>
    </row>
    <row r="30" customFormat="false" ht="22.35" hidden="false" customHeight="false" outlineLevel="0" collapsed="false">
      <c r="A30" s="10" t="n">
        <v>29</v>
      </c>
      <c r="B30" s="11" t="s">
        <v>56</v>
      </c>
      <c r="C30" s="10" t="s">
        <v>111</v>
      </c>
      <c r="D30" s="10" t="s">
        <v>112</v>
      </c>
      <c r="E30" s="10" t="s">
        <v>113</v>
      </c>
      <c r="F30" s="10" t="s">
        <v>114</v>
      </c>
      <c r="G30" s="12" t="n">
        <v>48215</v>
      </c>
      <c r="H30" s="10" t="s">
        <v>16</v>
      </c>
      <c r="I30" s="10" t="n">
        <v>15</v>
      </c>
      <c r="J30" s="10" t="s">
        <v>57</v>
      </c>
      <c r="K30" s="12" t="n">
        <v>46281</v>
      </c>
      <c r="L30" s="13" t="n">
        <f aca="false">IF(K30="","",K30-Resumo!$B$3)</f>
        <v>-37</v>
      </c>
      <c r="M30" s="10" t="s">
        <v>58</v>
      </c>
      <c r="N30" s="10" t="s">
        <v>59</v>
      </c>
      <c r="O30" s="14"/>
      <c r="P30" s="14" t="s">
        <v>23</v>
      </c>
      <c r="Q30" s="15"/>
      <c r="R30" s="14"/>
    </row>
    <row r="31" customFormat="false" ht="22.35" hidden="false" customHeight="false" outlineLevel="0" collapsed="false">
      <c r="A31" s="10" t="n">
        <v>30</v>
      </c>
      <c r="B31" s="11" t="s">
        <v>46</v>
      </c>
      <c r="C31" s="10" t="s">
        <v>111</v>
      </c>
      <c r="D31" s="10" t="s">
        <v>112</v>
      </c>
      <c r="E31" s="10" t="s">
        <v>113</v>
      </c>
      <c r="F31" s="10" t="s">
        <v>114</v>
      </c>
      <c r="G31" s="12" t="n">
        <v>48215</v>
      </c>
      <c r="H31" s="10" t="s">
        <v>17</v>
      </c>
      <c r="I31" s="10" t="n">
        <v>8</v>
      </c>
      <c r="J31" s="10" t="s">
        <v>6</v>
      </c>
      <c r="K31" s="12"/>
      <c r="L31" s="13" t="str">
        <f aca="false">IF(K31="","",K31-Resumo!$B$3)</f>
        <v/>
      </c>
      <c r="M31" s="10" t="s">
        <v>74</v>
      </c>
      <c r="N31" s="10" t="s">
        <v>86</v>
      </c>
      <c r="O31" s="14"/>
      <c r="P31" s="14" t="s">
        <v>23</v>
      </c>
      <c r="Q31" s="15"/>
      <c r="R31" s="14"/>
    </row>
    <row r="32" customFormat="false" ht="22.35" hidden="false" customHeight="false" outlineLevel="0" collapsed="false">
      <c r="A32" s="10" t="n">
        <v>31</v>
      </c>
      <c r="B32" s="11" t="s">
        <v>46</v>
      </c>
      <c r="C32" s="10" t="s">
        <v>111</v>
      </c>
      <c r="D32" s="10" t="s">
        <v>112</v>
      </c>
      <c r="E32" s="10" t="s">
        <v>113</v>
      </c>
      <c r="F32" s="10" t="s">
        <v>114</v>
      </c>
      <c r="G32" s="12" t="n">
        <v>48215</v>
      </c>
      <c r="H32" s="10" t="s">
        <v>18</v>
      </c>
      <c r="I32" s="10" t="n">
        <v>14</v>
      </c>
      <c r="J32" s="10" t="s">
        <v>6</v>
      </c>
      <c r="K32" s="12"/>
      <c r="L32" s="13" t="str">
        <f aca="false">IF(K32="","",K32-Resumo!$B$3)</f>
        <v/>
      </c>
      <c r="M32" s="10" t="s">
        <v>74</v>
      </c>
      <c r="N32" s="10" t="s">
        <v>88</v>
      </c>
      <c r="O32" s="14"/>
      <c r="P32" s="14" t="s">
        <v>23</v>
      </c>
      <c r="Q32" s="15"/>
      <c r="R32" s="14"/>
    </row>
    <row r="33" customFormat="false" ht="22.35" hidden="false" customHeight="false" outlineLevel="0" collapsed="false">
      <c r="A33" s="10" t="n">
        <v>32</v>
      </c>
      <c r="B33" s="11" t="s">
        <v>46</v>
      </c>
      <c r="C33" s="10" t="s">
        <v>111</v>
      </c>
      <c r="D33" s="10" t="s">
        <v>112</v>
      </c>
      <c r="E33" s="10" t="s">
        <v>113</v>
      </c>
      <c r="F33" s="10" t="s">
        <v>114</v>
      </c>
      <c r="G33" s="12" t="n">
        <v>48215</v>
      </c>
      <c r="H33" s="10" t="s">
        <v>19</v>
      </c>
      <c r="I33" s="10" t="n">
        <v>8</v>
      </c>
      <c r="J33" s="10" t="s">
        <v>6</v>
      </c>
      <c r="K33" s="12"/>
      <c r="L33" s="13" t="str">
        <f aca="false">IF(K33="","",K33-Resumo!$B$3)</f>
        <v/>
      </c>
      <c r="M33" s="10" t="s">
        <v>74</v>
      </c>
      <c r="N33" s="10" t="s">
        <v>89</v>
      </c>
      <c r="O33" s="14"/>
      <c r="P33" s="14" t="s">
        <v>23</v>
      </c>
      <c r="Q33" s="15"/>
      <c r="R33" s="14"/>
    </row>
    <row r="34" customFormat="false" ht="32.8" hidden="false" customHeight="false" outlineLevel="0" collapsed="false">
      <c r="A34" s="10" t="n">
        <v>33</v>
      </c>
      <c r="B34" s="11" t="s">
        <v>56</v>
      </c>
      <c r="C34" s="10" t="s">
        <v>115</v>
      </c>
      <c r="D34" s="10" t="s">
        <v>116</v>
      </c>
      <c r="E34" s="10" t="s">
        <v>117</v>
      </c>
      <c r="F34" s="10" t="s">
        <v>118</v>
      </c>
      <c r="G34" s="12" t="n">
        <v>47766</v>
      </c>
      <c r="H34" s="10" t="s">
        <v>15</v>
      </c>
      <c r="I34" s="10" t="n">
        <v>4</v>
      </c>
      <c r="J34" s="10" t="s">
        <v>57</v>
      </c>
      <c r="K34" s="12" t="n">
        <v>45995</v>
      </c>
      <c r="L34" s="13" t="n">
        <f aca="false">IF(K34="","",K34-Resumo!$B$3)</f>
        <v>-323</v>
      </c>
      <c r="M34" s="10" t="s">
        <v>64</v>
      </c>
      <c r="N34" s="10" t="s">
        <v>55</v>
      </c>
      <c r="O34" s="14"/>
      <c r="P34" s="14" t="s">
        <v>23</v>
      </c>
      <c r="Q34" s="15"/>
      <c r="R34" s="14"/>
    </row>
    <row r="35" customFormat="false" ht="32.8" hidden="false" customHeight="false" outlineLevel="0" collapsed="false">
      <c r="A35" s="10" t="n">
        <v>34</v>
      </c>
      <c r="B35" s="11" t="s">
        <v>56</v>
      </c>
      <c r="C35" s="10" t="s">
        <v>119</v>
      </c>
      <c r="D35" s="10" t="s">
        <v>120</v>
      </c>
      <c r="E35" s="10" t="s">
        <v>121</v>
      </c>
      <c r="F35" s="10" t="s">
        <v>122</v>
      </c>
      <c r="G35" s="12" t="n">
        <v>47037</v>
      </c>
      <c r="H35" s="10" t="s">
        <v>15</v>
      </c>
      <c r="I35" s="10" t="n">
        <v>5</v>
      </c>
      <c r="J35" s="10" t="s">
        <v>57</v>
      </c>
      <c r="K35" s="12" t="n">
        <v>46225</v>
      </c>
      <c r="L35" s="13" t="n">
        <f aca="false">IF(K35="","",K35-Resumo!$B$3)</f>
        <v>-93</v>
      </c>
      <c r="M35" s="10" t="s">
        <v>123</v>
      </c>
      <c r="N35" s="10" t="s">
        <v>55</v>
      </c>
      <c r="O35" s="14"/>
      <c r="P35" s="14" t="s">
        <v>23</v>
      </c>
      <c r="Q35" s="15"/>
      <c r="R35" s="14"/>
    </row>
    <row r="36" customFormat="false" ht="22.35" hidden="false" customHeight="false" outlineLevel="0" collapsed="false">
      <c r="A36" s="10" t="n">
        <v>35</v>
      </c>
      <c r="B36" s="11" t="s">
        <v>56</v>
      </c>
      <c r="C36" s="10" t="s">
        <v>119</v>
      </c>
      <c r="D36" s="10" t="s">
        <v>120</v>
      </c>
      <c r="E36" s="10" t="s">
        <v>121</v>
      </c>
      <c r="F36" s="10" t="s">
        <v>122</v>
      </c>
      <c r="G36" s="12" t="n">
        <v>47037</v>
      </c>
      <c r="H36" s="10" t="s">
        <v>16</v>
      </c>
      <c r="I36" s="10" t="n">
        <v>15</v>
      </c>
      <c r="J36" s="10" t="s">
        <v>57</v>
      </c>
      <c r="K36" s="12" t="n">
        <v>46282</v>
      </c>
      <c r="L36" s="13" t="n">
        <f aca="false">IF(K36="","",K36-Resumo!$B$3)</f>
        <v>-36</v>
      </c>
      <c r="M36" s="10" t="s">
        <v>85</v>
      </c>
      <c r="N36" s="10" t="s">
        <v>59</v>
      </c>
      <c r="O36" s="14"/>
      <c r="P36" s="14" t="s">
        <v>23</v>
      </c>
      <c r="Q36" s="15"/>
      <c r="R36" s="14"/>
    </row>
    <row r="37" customFormat="false" ht="22.35" hidden="false" customHeight="false" outlineLevel="0" collapsed="false">
      <c r="A37" s="10" t="n">
        <v>36</v>
      </c>
      <c r="B37" s="11" t="s">
        <v>75</v>
      </c>
      <c r="C37" s="10" t="s">
        <v>124</v>
      </c>
      <c r="D37" s="10" t="s">
        <v>125</v>
      </c>
      <c r="E37" s="10" t="s">
        <v>126</v>
      </c>
      <c r="F37" s="10" t="s">
        <v>127</v>
      </c>
      <c r="G37" s="12" t="n">
        <v>48208</v>
      </c>
      <c r="H37" s="10" t="s">
        <v>11</v>
      </c>
      <c r="I37" s="10"/>
      <c r="J37" s="10" t="s">
        <v>57</v>
      </c>
      <c r="K37" s="12" t="n">
        <v>45322</v>
      </c>
      <c r="L37" s="13" t="n">
        <f aca="false">IF(K37="","",K37-Resumo!$B$3)</f>
        <v>-996</v>
      </c>
      <c r="M37" s="10" t="s">
        <v>128</v>
      </c>
      <c r="N37" s="10" t="s">
        <v>129</v>
      </c>
      <c r="O37" s="14"/>
      <c r="P37" s="14" t="s">
        <v>23</v>
      </c>
      <c r="Q37" s="15"/>
      <c r="R37" s="14"/>
    </row>
    <row r="38" customFormat="false" ht="32.8" hidden="false" customHeight="false" outlineLevel="0" collapsed="false">
      <c r="A38" s="10" t="n">
        <v>37</v>
      </c>
      <c r="B38" s="11" t="s">
        <v>56</v>
      </c>
      <c r="C38" s="10" t="s">
        <v>124</v>
      </c>
      <c r="D38" s="10" t="s">
        <v>125</v>
      </c>
      <c r="E38" s="10" t="s">
        <v>126</v>
      </c>
      <c r="F38" s="10" t="s">
        <v>127</v>
      </c>
      <c r="G38" s="12" t="n">
        <v>48208</v>
      </c>
      <c r="H38" s="10" t="s">
        <v>15</v>
      </c>
      <c r="I38" s="10" t="n">
        <v>5</v>
      </c>
      <c r="J38" s="10" t="s">
        <v>57</v>
      </c>
      <c r="K38" s="12" t="n">
        <v>46239</v>
      </c>
      <c r="L38" s="13" t="n">
        <f aca="false">IF(K38="","",K38-Resumo!$B$3)</f>
        <v>-79</v>
      </c>
      <c r="M38" s="10" t="s">
        <v>130</v>
      </c>
      <c r="N38" s="10" t="s">
        <v>55</v>
      </c>
      <c r="O38" s="14"/>
      <c r="P38" s="14" t="s">
        <v>23</v>
      </c>
      <c r="Q38" s="15"/>
      <c r="R38" s="14"/>
    </row>
    <row r="39" customFormat="false" ht="22.35" hidden="false" customHeight="false" outlineLevel="0" collapsed="false">
      <c r="A39" s="10" t="n">
        <v>38</v>
      </c>
      <c r="B39" s="11" t="s">
        <v>56</v>
      </c>
      <c r="C39" s="10" t="s">
        <v>124</v>
      </c>
      <c r="D39" s="10" t="s">
        <v>125</v>
      </c>
      <c r="E39" s="10" t="s">
        <v>126</v>
      </c>
      <c r="F39" s="10" t="s">
        <v>127</v>
      </c>
      <c r="G39" s="12" t="n">
        <v>48208</v>
      </c>
      <c r="H39" s="10" t="s">
        <v>16</v>
      </c>
      <c r="I39" s="10" t="n">
        <v>10</v>
      </c>
      <c r="J39" s="10" t="s">
        <v>57</v>
      </c>
      <c r="K39" s="12" t="n">
        <v>46282</v>
      </c>
      <c r="L39" s="13" t="n">
        <f aca="false">IF(K39="","",K39-Resumo!$B$3)</f>
        <v>-36</v>
      </c>
      <c r="M39" s="10" t="s">
        <v>85</v>
      </c>
      <c r="N39" s="10" t="s">
        <v>59</v>
      </c>
      <c r="O39" s="14"/>
      <c r="P39" s="14" t="s">
        <v>23</v>
      </c>
      <c r="Q39" s="15"/>
      <c r="R39" s="14"/>
    </row>
    <row r="40" customFormat="false" ht="22.35" hidden="false" customHeight="false" outlineLevel="0" collapsed="false">
      <c r="A40" s="10" t="n">
        <v>39</v>
      </c>
      <c r="B40" s="11" t="s">
        <v>46</v>
      </c>
      <c r="C40" s="10" t="s">
        <v>124</v>
      </c>
      <c r="D40" s="10" t="s">
        <v>125</v>
      </c>
      <c r="E40" s="10" t="s">
        <v>126</v>
      </c>
      <c r="F40" s="10" t="s">
        <v>127</v>
      </c>
      <c r="G40" s="12" t="n">
        <v>48208</v>
      </c>
      <c r="H40" s="10" t="s">
        <v>20</v>
      </c>
      <c r="I40" s="10" t="n">
        <v>11</v>
      </c>
      <c r="J40" s="10" t="s">
        <v>6</v>
      </c>
      <c r="K40" s="12"/>
      <c r="L40" s="13" t="str">
        <f aca="false">IF(K40="","",K40-Resumo!$B$3)</f>
        <v/>
      </c>
      <c r="M40" s="10" t="s">
        <v>74</v>
      </c>
      <c r="N40" s="10" t="s">
        <v>131</v>
      </c>
      <c r="O40" s="14"/>
      <c r="P40" s="14" t="s">
        <v>23</v>
      </c>
      <c r="Q40" s="15"/>
      <c r="R40" s="14"/>
    </row>
    <row r="41" customFormat="false" ht="22.35" hidden="false" customHeight="false" outlineLevel="0" collapsed="false">
      <c r="A41" s="10" t="n">
        <v>40</v>
      </c>
      <c r="B41" s="11" t="s">
        <v>56</v>
      </c>
      <c r="C41" s="10" t="s">
        <v>132</v>
      </c>
      <c r="D41" s="10" t="s">
        <v>133</v>
      </c>
      <c r="E41" s="10" t="s">
        <v>134</v>
      </c>
      <c r="F41" s="10" t="s">
        <v>135</v>
      </c>
      <c r="G41" s="12" t="n">
        <v>47333</v>
      </c>
      <c r="H41" s="10" t="s">
        <v>16</v>
      </c>
      <c r="I41" s="10" t="n">
        <v>14</v>
      </c>
      <c r="J41" s="10" t="s">
        <v>57</v>
      </c>
      <c r="K41" s="12" t="n">
        <v>46282</v>
      </c>
      <c r="L41" s="13" t="n">
        <f aca="false">IF(K41="","",K41-Resumo!$B$3)</f>
        <v>-36</v>
      </c>
      <c r="M41" s="10" t="s">
        <v>85</v>
      </c>
      <c r="N41" s="10" t="s">
        <v>59</v>
      </c>
      <c r="O41" s="14"/>
      <c r="P41" s="14" t="s">
        <v>23</v>
      </c>
      <c r="Q41" s="15"/>
      <c r="R41" s="14"/>
    </row>
    <row r="42" customFormat="false" ht="22.35" hidden="false" customHeight="false" outlineLevel="0" collapsed="false">
      <c r="A42" s="10" t="n">
        <v>41</v>
      </c>
      <c r="B42" s="11" t="s">
        <v>75</v>
      </c>
      <c r="C42" s="10" t="s">
        <v>136</v>
      </c>
      <c r="D42" s="10" t="s">
        <v>125</v>
      </c>
      <c r="E42" s="10" t="s">
        <v>137</v>
      </c>
      <c r="F42" s="10" t="s">
        <v>138</v>
      </c>
      <c r="G42" s="12" t="n">
        <v>48394</v>
      </c>
      <c r="H42" s="10" t="s">
        <v>12</v>
      </c>
      <c r="I42" s="10" t="n">
        <v>22</v>
      </c>
      <c r="J42" s="10" t="s">
        <v>57</v>
      </c>
      <c r="K42" s="12" t="n">
        <v>46212</v>
      </c>
      <c r="L42" s="13" t="n">
        <f aca="false">IF(K42="","",K42-Resumo!$B$3)</f>
        <v>-106</v>
      </c>
      <c r="M42" s="10" t="s">
        <v>80</v>
      </c>
      <c r="N42" s="10" t="s">
        <v>81</v>
      </c>
      <c r="O42" s="14"/>
      <c r="P42" s="14" t="s">
        <v>23</v>
      </c>
      <c r="Q42" s="15"/>
      <c r="R42" s="14"/>
    </row>
    <row r="43" customFormat="false" ht="15" hidden="false" customHeight="false" outlineLevel="0" collapsed="false">
      <c r="A43" s="10" t="n">
        <v>42</v>
      </c>
      <c r="B43" s="11" t="s">
        <v>75</v>
      </c>
      <c r="C43" s="10" t="s">
        <v>136</v>
      </c>
      <c r="D43" s="10" t="s">
        <v>125</v>
      </c>
      <c r="E43" s="10" t="s">
        <v>137</v>
      </c>
      <c r="F43" s="10" t="s">
        <v>138</v>
      </c>
      <c r="G43" s="12" t="n">
        <v>48394</v>
      </c>
      <c r="H43" s="10" t="s">
        <v>13</v>
      </c>
      <c r="I43" s="10" t="n">
        <v>19</v>
      </c>
      <c r="J43" s="10" t="s">
        <v>57</v>
      </c>
      <c r="K43" s="12" t="n">
        <v>46292</v>
      </c>
      <c r="L43" s="13" t="n">
        <f aca="false">IF(K43="","",K43-Resumo!$B$3)</f>
        <v>-26</v>
      </c>
      <c r="M43" s="10" t="s">
        <v>82</v>
      </c>
      <c r="N43" s="10" t="s">
        <v>83</v>
      </c>
      <c r="O43" s="14"/>
      <c r="P43" s="14" t="s">
        <v>23</v>
      </c>
      <c r="Q43" s="15"/>
      <c r="R43" s="14"/>
    </row>
    <row r="44" customFormat="false" ht="32.8" hidden="false" customHeight="false" outlineLevel="0" collapsed="false">
      <c r="A44" s="10" t="n">
        <v>43</v>
      </c>
      <c r="B44" s="11" t="s">
        <v>56</v>
      </c>
      <c r="C44" s="10" t="s">
        <v>136</v>
      </c>
      <c r="D44" s="10" t="s">
        <v>125</v>
      </c>
      <c r="E44" s="10" t="s">
        <v>137</v>
      </c>
      <c r="F44" s="10" t="s">
        <v>138</v>
      </c>
      <c r="G44" s="12" t="n">
        <v>48394</v>
      </c>
      <c r="H44" s="10" t="s">
        <v>15</v>
      </c>
      <c r="I44" s="10" t="n">
        <v>5</v>
      </c>
      <c r="J44" s="10" t="s">
        <v>51</v>
      </c>
      <c r="K44" s="12" t="n">
        <v>46323</v>
      </c>
      <c r="L44" s="13" t="n">
        <f aca="false">IF(K44="","",K44-Resumo!$B$3)</f>
        <v>5</v>
      </c>
      <c r="M44" s="10" t="s">
        <v>139</v>
      </c>
      <c r="N44" s="10" t="s">
        <v>55</v>
      </c>
      <c r="O44" s="14"/>
      <c r="P44" s="14" t="s">
        <v>23</v>
      </c>
      <c r="Q44" s="15"/>
      <c r="R44" s="14"/>
    </row>
    <row r="45" customFormat="false" ht="22.35" hidden="false" customHeight="false" outlineLevel="0" collapsed="false">
      <c r="A45" s="10" t="n">
        <v>44</v>
      </c>
      <c r="B45" s="11" t="s">
        <v>56</v>
      </c>
      <c r="C45" s="10" t="s">
        <v>136</v>
      </c>
      <c r="D45" s="10" t="s">
        <v>125</v>
      </c>
      <c r="E45" s="10" t="s">
        <v>137</v>
      </c>
      <c r="F45" s="10" t="s">
        <v>138</v>
      </c>
      <c r="G45" s="12" t="n">
        <v>48394</v>
      </c>
      <c r="H45" s="10" t="s">
        <v>16</v>
      </c>
      <c r="I45" s="10" t="n">
        <v>15</v>
      </c>
      <c r="J45" s="10" t="s">
        <v>57</v>
      </c>
      <c r="K45" s="12" t="n">
        <v>46282</v>
      </c>
      <c r="L45" s="13" t="n">
        <f aca="false">IF(K45="","",K45-Resumo!$B$3)</f>
        <v>-36</v>
      </c>
      <c r="M45" s="10" t="s">
        <v>85</v>
      </c>
      <c r="N45" s="10" t="s">
        <v>59</v>
      </c>
      <c r="O45" s="14"/>
      <c r="P45" s="14" t="s">
        <v>23</v>
      </c>
      <c r="Q45" s="15"/>
      <c r="R45" s="14"/>
    </row>
    <row r="46" customFormat="false" ht="22.35" hidden="false" customHeight="false" outlineLevel="0" collapsed="false">
      <c r="A46" s="10" t="n">
        <v>45</v>
      </c>
      <c r="B46" s="11" t="s">
        <v>75</v>
      </c>
      <c r="C46" s="10" t="s">
        <v>136</v>
      </c>
      <c r="D46" s="10" t="s">
        <v>125</v>
      </c>
      <c r="E46" s="10" t="s">
        <v>137</v>
      </c>
      <c r="F46" s="10" t="s">
        <v>138</v>
      </c>
      <c r="G46" s="12" t="n">
        <v>48394</v>
      </c>
      <c r="H46" s="10" t="s">
        <v>17</v>
      </c>
      <c r="I46" s="10" t="n">
        <v>14</v>
      </c>
      <c r="J46" s="10" t="s">
        <v>57</v>
      </c>
      <c r="K46" s="12" t="n">
        <v>44478</v>
      </c>
      <c r="L46" s="13" t="n">
        <f aca="false">IF(K46="","",K46-Resumo!$B$3)</f>
        <v>-1840</v>
      </c>
      <c r="M46" s="10" t="s">
        <v>140</v>
      </c>
      <c r="N46" s="10" t="s">
        <v>86</v>
      </c>
      <c r="O46" s="14"/>
      <c r="P46" s="14" t="s">
        <v>23</v>
      </c>
      <c r="Q46" s="15"/>
      <c r="R46" s="14"/>
    </row>
    <row r="47" customFormat="false" ht="22.35" hidden="false" customHeight="false" outlineLevel="0" collapsed="false">
      <c r="A47" s="10" t="n">
        <v>46</v>
      </c>
      <c r="B47" s="11" t="s">
        <v>46</v>
      </c>
      <c r="C47" s="10" t="s">
        <v>136</v>
      </c>
      <c r="D47" s="10" t="s">
        <v>125</v>
      </c>
      <c r="E47" s="10" t="s">
        <v>137</v>
      </c>
      <c r="F47" s="10" t="s">
        <v>138</v>
      </c>
      <c r="G47" s="12" t="n">
        <v>48394</v>
      </c>
      <c r="H47" s="10" t="s">
        <v>18</v>
      </c>
      <c r="I47" s="10" t="n">
        <v>14</v>
      </c>
      <c r="J47" s="10" t="s">
        <v>6</v>
      </c>
      <c r="K47" s="12"/>
      <c r="L47" s="13" t="str">
        <f aca="false">IF(K47="","",K47-Resumo!$B$3)</f>
        <v/>
      </c>
      <c r="M47" s="10" t="s">
        <v>74</v>
      </c>
      <c r="N47" s="10" t="s">
        <v>88</v>
      </c>
      <c r="O47" s="14"/>
      <c r="P47" s="14" t="s">
        <v>23</v>
      </c>
      <c r="Q47" s="15"/>
      <c r="R47" s="14"/>
    </row>
    <row r="48" customFormat="false" ht="22.35" hidden="false" customHeight="false" outlineLevel="0" collapsed="false">
      <c r="A48" s="10" t="n">
        <v>47</v>
      </c>
      <c r="B48" s="11" t="s">
        <v>46</v>
      </c>
      <c r="C48" s="10" t="s">
        <v>136</v>
      </c>
      <c r="D48" s="10" t="s">
        <v>125</v>
      </c>
      <c r="E48" s="10" t="s">
        <v>137</v>
      </c>
      <c r="F48" s="10" t="s">
        <v>138</v>
      </c>
      <c r="G48" s="12" t="n">
        <v>48394</v>
      </c>
      <c r="H48" s="10" t="s">
        <v>19</v>
      </c>
      <c r="I48" s="10" t="n">
        <v>8</v>
      </c>
      <c r="J48" s="10" t="s">
        <v>6</v>
      </c>
      <c r="K48" s="12"/>
      <c r="L48" s="13" t="str">
        <f aca="false">IF(K48="","",K48-Resumo!$B$3)</f>
        <v/>
      </c>
      <c r="M48" s="10" t="s">
        <v>74</v>
      </c>
      <c r="N48" s="10" t="s">
        <v>89</v>
      </c>
      <c r="O48" s="14"/>
      <c r="P48" s="14" t="s">
        <v>23</v>
      </c>
      <c r="Q48" s="15"/>
      <c r="R48" s="14"/>
    </row>
    <row r="49" customFormat="false" ht="22.35" hidden="false" customHeight="false" outlineLevel="0" collapsed="false">
      <c r="A49" s="10" t="n">
        <v>48</v>
      </c>
      <c r="B49" s="11" t="s">
        <v>75</v>
      </c>
      <c r="C49" s="10" t="s">
        <v>141</v>
      </c>
      <c r="D49" s="10" t="s">
        <v>142</v>
      </c>
      <c r="E49" s="10" t="s">
        <v>143</v>
      </c>
      <c r="F49" s="10" t="s">
        <v>144</v>
      </c>
      <c r="G49" s="12" t="n">
        <v>47129</v>
      </c>
      <c r="H49" s="10" t="s">
        <v>10</v>
      </c>
      <c r="I49" s="10"/>
      <c r="J49" s="10" t="s">
        <v>57</v>
      </c>
      <c r="K49" s="12" t="n">
        <v>46273</v>
      </c>
      <c r="L49" s="13" t="n">
        <f aca="false">IF(K49="","",K49-Resumo!$B$3)</f>
        <v>-45</v>
      </c>
      <c r="M49" s="10" t="s">
        <v>145</v>
      </c>
      <c r="N49" s="10" t="s">
        <v>53</v>
      </c>
      <c r="O49" s="14"/>
      <c r="P49" s="14" t="s">
        <v>23</v>
      </c>
      <c r="Q49" s="15"/>
      <c r="R49" s="14"/>
    </row>
    <row r="50" customFormat="false" ht="32.8" hidden="false" customHeight="false" outlineLevel="0" collapsed="false">
      <c r="A50" s="10" t="n">
        <v>49</v>
      </c>
      <c r="B50" s="11" t="s">
        <v>46</v>
      </c>
      <c r="C50" s="10" t="s">
        <v>141</v>
      </c>
      <c r="D50" s="10" t="s">
        <v>142</v>
      </c>
      <c r="E50" s="10" t="s">
        <v>143</v>
      </c>
      <c r="F50" s="10" t="s">
        <v>144</v>
      </c>
      <c r="G50" s="12" t="n">
        <v>47129</v>
      </c>
      <c r="H50" s="10" t="s">
        <v>15</v>
      </c>
      <c r="I50" s="10" t="n">
        <v>5</v>
      </c>
      <c r="J50" s="10" t="s">
        <v>6</v>
      </c>
      <c r="K50" s="12"/>
      <c r="L50" s="13" t="str">
        <f aca="false">IF(K50="","",K50-Resumo!$B$3)</f>
        <v/>
      </c>
      <c r="M50" s="10" t="s">
        <v>74</v>
      </c>
      <c r="N50" s="10" t="s">
        <v>55</v>
      </c>
      <c r="O50" s="14"/>
      <c r="P50" s="14" t="s">
        <v>23</v>
      </c>
      <c r="Q50" s="15"/>
      <c r="R50" s="14"/>
    </row>
    <row r="51" customFormat="false" ht="22.35" hidden="false" customHeight="false" outlineLevel="0" collapsed="false">
      <c r="A51" s="10" t="n">
        <v>50</v>
      </c>
      <c r="B51" s="11" t="s">
        <v>56</v>
      </c>
      <c r="C51" s="10" t="s">
        <v>141</v>
      </c>
      <c r="D51" s="10" t="s">
        <v>142</v>
      </c>
      <c r="E51" s="10" t="s">
        <v>143</v>
      </c>
      <c r="F51" s="10" t="s">
        <v>144</v>
      </c>
      <c r="G51" s="12" t="n">
        <v>47129</v>
      </c>
      <c r="H51" s="10" t="s">
        <v>16</v>
      </c>
      <c r="I51" s="10" t="n">
        <v>17</v>
      </c>
      <c r="J51" s="10" t="s">
        <v>57</v>
      </c>
      <c r="K51" s="12" t="n">
        <v>46282</v>
      </c>
      <c r="L51" s="13" t="n">
        <f aca="false">IF(K51="","",K51-Resumo!$B$3)</f>
        <v>-36</v>
      </c>
      <c r="M51" s="10" t="s">
        <v>85</v>
      </c>
      <c r="N51" s="10" t="s">
        <v>59</v>
      </c>
      <c r="O51" s="14"/>
      <c r="P51" s="14" t="s">
        <v>23</v>
      </c>
      <c r="Q51" s="15"/>
      <c r="R51" s="14"/>
    </row>
    <row r="52" customFormat="false" ht="22.35" hidden="false" customHeight="false" outlineLevel="0" collapsed="false">
      <c r="A52" s="10" t="n">
        <v>51</v>
      </c>
      <c r="B52" s="11" t="s">
        <v>46</v>
      </c>
      <c r="C52" s="10" t="s">
        <v>141</v>
      </c>
      <c r="D52" s="10" t="s">
        <v>142</v>
      </c>
      <c r="E52" s="10" t="s">
        <v>143</v>
      </c>
      <c r="F52" s="10" t="s">
        <v>144</v>
      </c>
      <c r="G52" s="12" t="n">
        <v>47129</v>
      </c>
      <c r="H52" s="10" t="s">
        <v>17</v>
      </c>
      <c r="I52" s="10" t="n">
        <v>8</v>
      </c>
      <c r="J52" s="10" t="s">
        <v>51</v>
      </c>
      <c r="K52" s="12" t="n">
        <v>46337</v>
      </c>
      <c r="L52" s="13" t="n">
        <f aca="false">IF(K52="","",K52-Resumo!$B$3)</f>
        <v>19</v>
      </c>
      <c r="M52" s="10" t="s">
        <v>146</v>
      </c>
      <c r="N52" s="10" t="s">
        <v>86</v>
      </c>
      <c r="O52" s="14"/>
      <c r="P52" s="14" t="s">
        <v>23</v>
      </c>
      <c r="Q52" s="15"/>
      <c r="R52" s="14"/>
    </row>
    <row r="53" customFormat="false" ht="22.35" hidden="false" customHeight="false" outlineLevel="0" collapsed="false">
      <c r="A53" s="10" t="n">
        <v>52</v>
      </c>
      <c r="B53" s="11" t="s">
        <v>56</v>
      </c>
      <c r="C53" s="10" t="s">
        <v>147</v>
      </c>
      <c r="D53" s="10" t="s">
        <v>91</v>
      </c>
      <c r="E53" s="10" t="s">
        <v>148</v>
      </c>
      <c r="F53" s="10" t="s">
        <v>149</v>
      </c>
      <c r="G53" s="12" t="n">
        <v>46872</v>
      </c>
      <c r="H53" s="10" t="s">
        <v>16</v>
      </c>
      <c r="I53" s="10" t="n">
        <v>15</v>
      </c>
      <c r="J53" s="10" t="s">
        <v>57</v>
      </c>
      <c r="K53" s="12" t="n">
        <v>46281</v>
      </c>
      <c r="L53" s="13" t="n">
        <f aca="false">IF(K53="","",K53-Resumo!$B$3)</f>
        <v>-37</v>
      </c>
      <c r="M53" s="10" t="s">
        <v>58</v>
      </c>
      <c r="N53" s="10" t="s">
        <v>59</v>
      </c>
      <c r="O53" s="14"/>
      <c r="P53" s="14" t="s">
        <v>23</v>
      </c>
      <c r="Q53" s="15"/>
      <c r="R53" s="14"/>
    </row>
    <row r="54" customFormat="false" ht="22.35" hidden="false" customHeight="false" outlineLevel="0" collapsed="false">
      <c r="A54" s="10" t="n">
        <v>53</v>
      </c>
      <c r="B54" s="11" t="s">
        <v>56</v>
      </c>
      <c r="C54" s="10" t="s">
        <v>150</v>
      </c>
      <c r="D54" s="10" t="s">
        <v>151</v>
      </c>
      <c r="E54" s="10" t="s">
        <v>152</v>
      </c>
      <c r="F54" s="10" t="s">
        <v>153</v>
      </c>
      <c r="G54" s="12" t="n">
        <v>46374</v>
      </c>
      <c r="H54" s="10" t="s">
        <v>9</v>
      </c>
      <c r="I54" s="10" t="n">
        <v>20</v>
      </c>
      <c r="J54" s="10" t="s">
        <v>57</v>
      </c>
      <c r="K54" s="12" t="n">
        <v>46254</v>
      </c>
      <c r="L54" s="13" t="n">
        <f aca="false">IF(K54="","",K54-Resumo!$B$3)</f>
        <v>-64</v>
      </c>
      <c r="M54" s="10" t="s">
        <v>94</v>
      </c>
      <c r="N54" s="10" t="s">
        <v>95</v>
      </c>
      <c r="O54" s="14"/>
      <c r="P54" s="14" t="s">
        <v>23</v>
      </c>
      <c r="Q54" s="15"/>
      <c r="R54" s="14"/>
    </row>
    <row r="55" customFormat="false" ht="32.8" hidden="false" customHeight="false" outlineLevel="0" collapsed="false">
      <c r="A55" s="10" t="n">
        <v>54</v>
      </c>
      <c r="B55" s="11" t="s">
        <v>46</v>
      </c>
      <c r="C55" s="10" t="s">
        <v>150</v>
      </c>
      <c r="D55" s="10" t="s">
        <v>151</v>
      </c>
      <c r="E55" s="10" t="s">
        <v>152</v>
      </c>
      <c r="F55" s="10" t="s">
        <v>153</v>
      </c>
      <c r="G55" s="12" t="n">
        <v>46374</v>
      </c>
      <c r="H55" s="10" t="s">
        <v>15</v>
      </c>
      <c r="I55" s="10" t="n">
        <v>5</v>
      </c>
      <c r="J55" s="10" t="s">
        <v>6</v>
      </c>
      <c r="K55" s="12"/>
      <c r="L55" s="13" t="str">
        <f aca="false">IF(K55="","",K55-Resumo!$B$3)</f>
        <v/>
      </c>
      <c r="M55" s="10" t="s">
        <v>74</v>
      </c>
      <c r="N55" s="10" t="s">
        <v>55</v>
      </c>
      <c r="O55" s="14"/>
      <c r="P55" s="14" t="s">
        <v>23</v>
      </c>
      <c r="Q55" s="15"/>
      <c r="R55" s="14"/>
    </row>
    <row r="56" customFormat="false" ht="22.35" hidden="false" customHeight="false" outlineLevel="0" collapsed="false">
      <c r="A56" s="10" t="n">
        <v>55</v>
      </c>
      <c r="B56" s="11" t="s">
        <v>56</v>
      </c>
      <c r="C56" s="10" t="s">
        <v>150</v>
      </c>
      <c r="D56" s="10" t="s">
        <v>151</v>
      </c>
      <c r="E56" s="10" t="s">
        <v>152</v>
      </c>
      <c r="F56" s="10" t="s">
        <v>153</v>
      </c>
      <c r="G56" s="12" t="n">
        <v>46374</v>
      </c>
      <c r="H56" s="10" t="s">
        <v>16</v>
      </c>
      <c r="I56" s="10" t="n">
        <v>15</v>
      </c>
      <c r="J56" s="10" t="s">
        <v>57</v>
      </c>
      <c r="K56" s="12" t="n">
        <v>46282</v>
      </c>
      <c r="L56" s="13" t="n">
        <f aca="false">IF(K56="","",K56-Resumo!$B$3)</f>
        <v>-36</v>
      </c>
      <c r="M56" s="10" t="s">
        <v>85</v>
      </c>
      <c r="N56" s="10" t="s">
        <v>59</v>
      </c>
      <c r="O56" s="14"/>
      <c r="P56" s="14" t="s">
        <v>23</v>
      </c>
      <c r="Q56" s="15"/>
      <c r="R56" s="14"/>
    </row>
    <row r="57" customFormat="false" ht="22.35" hidden="false" customHeight="false" outlineLevel="0" collapsed="false">
      <c r="A57" s="10" t="n">
        <v>56</v>
      </c>
      <c r="B57" s="11" t="s">
        <v>56</v>
      </c>
      <c r="C57" s="10" t="s">
        <v>154</v>
      </c>
      <c r="D57" s="10" t="s">
        <v>155</v>
      </c>
      <c r="E57" s="10" t="s">
        <v>156</v>
      </c>
      <c r="F57" s="10" t="s">
        <v>157</v>
      </c>
      <c r="G57" s="12" t="n">
        <v>46911</v>
      </c>
      <c r="H57" s="10" t="s">
        <v>16</v>
      </c>
      <c r="I57" s="10"/>
      <c r="J57" s="10" t="s">
        <v>57</v>
      </c>
      <c r="K57" s="12" t="n">
        <v>46282</v>
      </c>
      <c r="L57" s="13" t="n">
        <f aca="false">IF(K57="","",K57-Resumo!$B$3)</f>
        <v>-36</v>
      </c>
      <c r="M57" s="10" t="s">
        <v>85</v>
      </c>
      <c r="N57" s="10" t="s">
        <v>59</v>
      </c>
      <c r="O57" s="14"/>
      <c r="P57" s="14" t="s">
        <v>23</v>
      </c>
      <c r="Q57" s="15"/>
      <c r="R57" s="14"/>
    </row>
    <row r="58" customFormat="false" ht="32.8" hidden="false" customHeight="false" outlineLevel="0" collapsed="false">
      <c r="A58" s="10" t="n">
        <v>57</v>
      </c>
      <c r="B58" s="11" t="s">
        <v>46</v>
      </c>
      <c r="C58" s="10" t="s">
        <v>158</v>
      </c>
      <c r="D58" s="10" t="s">
        <v>159</v>
      </c>
      <c r="E58" s="10" t="s">
        <v>160</v>
      </c>
      <c r="F58" s="10" t="s">
        <v>161</v>
      </c>
      <c r="G58" s="12" t="n">
        <v>46875</v>
      </c>
      <c r="H58" s="10" t="s">
        <v>15</v>
      </c>
      <c r="I58" s="10"/>
      <c r="J58" s="10" t="s">
        <v>6</v>
      </c>
      <c r="K58" s="12"/>
      <c r="L58" s="13" t="str">
        <f aca="false">IF(K58="","",K58-Resumo!$B$3)</f>
        <v/>
      </c>
      <c r="M58" s="10" t="s">
        <v>74</v>
      </c>
      <c r="N58" s="10" t="s">
        <v>55</v>
      </c>
      <c r="O58" s="14"/>
      <c r="P58" s="14" t="s">
        <v>23</v>
      </c>
      <c r="Q58" s="15"/>
      <c r="R58" s="14"/>
    </row>
    <row r="59" customFormat="false" ht="22.35" hidden="false" customHeight="false" outlineLevel="0" collapsed="false">
      <c r="A59" s="10" t="n">
        <v>58</v>
      </c>
      <c r="B59" s="11" t="s">
        <v>56</v>
      </c>
      <c r="C59" s="10" t="s">
        <v>158</v>
      </c>
      <c r="D59" s="10" t="s">
        <v>159</v>
      </c>
      <c r="E59" s="10" t="s">
        <v>160</v>
      </c>
      <c r="F59" s="10" t="s">
        <v>161</v>
      </c>
      <c r="G59" s="12" t="n">
        <v>46875</v>
      </c>
      <c r="H59" s="10" t="s">
        <v>16</v>
      </c>
      <c r="I59" s="10"/>
      <c r="J59" s="10" t="s">
        <v>57</v>
      </c>
      <c r="K59" s="12" t="n">
        <v>46282</v>
      </c>
      <c r="L59" s="13" t="n">
        <f aca="false">IF(K59="","",K59-Resumo!$B$3)</f>
        <v>-36</v>
      </c>
      <c r="M59" s="10" t="s">
        <v>85</v>
      </c>
      <c r="N59" s="10" t="s">
        <v>59</v>
      </c>
      <c r="O59" s="14"/>
      <c r="P59" s="14" t="s">
        <v>23</v>
      </c>
      <c r="Q59" s="15"/>
      <c r="R59" s="14"/>
    </row>
    <row r="60" customFormat="false" ht="32.8" hidden="false" customHeight="false" outlineLevel="0" collapsed="false">
      <c r="A60" s="10" t="n">
        <v>59</v>
      </c>
      <c r="B60" s="11" t="s">
        <v>56</v>
      </c>
      <c r="C60" s="10" t="s">
        <v>162</v>
      </c>
      <c r="D60" s="10" t="s">
        <v>163</v>
      </c>
      <c r="E60" s="10" t="s">
        <v>164</v>
      </c>
      <c r="F60" s="10" t="s">
        <v>165</v>
      </c>
      <c r="G60" s="12" t="n">
        <v>47952</v>
      </c>
      <c r="H60" s="10" t="s">
        <v>15</v>
      </c>
      <c r="I60" s="10" t="n">
        <v>5</v>
      </c>
      <c r="J60" s="10" t="s">
        <v>57</v>
      </c>
      <c r="K60" s="12" t="n">
        <v>45898</v>
      </c>
      <c r="L60" s="13" t="n">
        <f aca="false">IF(K60="","",K60-Resumo!$B$3)</f>
        <v>-420</v>
      </c>
      <c r="M60" s="10" t="s">
        <v>166</v>
      </c>
      <c r="N60" s="10" t="s">
        <v>55</v>
      </c>
      <c r="O60" s="14"/>
      <c r="P60" s="14" t="s">
        <v>23</v>
      </c>
      <c r="Q60" s="15"/>
      <c r="R60" s="14"/>
    </row>
    <row r="61" customFormat="false" ht="22.35" hidden="false" customHeight="false" outlineLevel="0" collapsed="false">
      <c r="A61" s="10" t="n">
        <v>60</v>
      </c>
      <c r="B61" s="11" t="s">
        <v>56</v>
      </c>
      <c r="C61" s="10" t="s">
        <v>162</v>
      </c>
      <c r="D61" s="10" t="s">
        <v>163</v>
      </c>
      <c r="E61" s="10" t="s">
        <v>164</v>
      </c>
      <c r="F61" s="10" t="s">
        <v>165</v>
      </c>
      <c r="G61" s="12" t="n">
        <v>47952</v>
      </c>
      <c r="H61" s="10" t="s">
        <v>16</v>
      </c>
      <c r="I61" s="10" t="n">
        <v>17</v>
      </c>
      <c r="J61" s="10" t="s">
        <v>57</v>
      </c>
      <c r="K61" s="12" t="n">
        <v>46281</v>
      </c>
      <c r="L61" s="13" t="n">
        <f aca="false">IF(K61="","",K61-Resumo!$B$3)</f>
        <v>-37</v>
      </c>
      <c r="M61" s="10" t="s">
        <v>58</v>
      </c>
      <c r="N61" s="10" t="s">
        <v>59</v>
      </c>
      <c r="O61" s="14"/>
      <c r="P61" s="14" t="s">
        <v>23</v>
      </c>
      <c r="Q61" s="15"/>
      <c r="R61" s="14"/>
    </row>
    <row r="62" customFormat="false" ht="32.8" hidden="false" customHeight="false" outlineLevel="0" collapsed="false">
      <c r="A62" s="10" t="n">
        <v>61</v>
      </c>
      <c r="B62" s="11" t="s">
        <v>56</v>
      </c>
      <c r="C62" s="10" t="s">
        <v>167</v>
      </c>
      <c r="D62" s="10" t="s">
        <v>168</v>
      </c>
      <c r="E62" s="10" t="s">
        <v>169</v>
      </c>
      <c r="F62" s="10" t="s">
        <v>170</v>
      </c>
      <c r="G62" s="12" t="n">
        <v>46990</v>
      </c>
      <c r="H62" s="10" t="s">
        <v>15</v>
      </c>
      <c r="I62" s="10" t="n">
        <v>5</v>
      </c>
      <c r="J62" s="10" t="s">
        <v>57</v>
      </c>
      <c r="K62" s="12" t="n">
        <v>46163</v>
      </c>
      <c r="L62" s="13" t="n">
        <f aca="false">IF(K62="","",K62-Resumo!$B$3)</f>
        <v>-155</v>
      </c>
      <c r="M62" s="10" t="s">
        <v>171</v>
      </c>
      <c r="N62" s="10" t="s">
        <v>55</v>
      </c>
      <c r="O62" s="14"/>
      <c r="P62" s="14" t="s">
        <v>23</v>
      </c>
      <c r="Q62" s="15"/>
      <c r="R62" s="14"/>
    </row>
    <row r="63" customFormat="false" ht="22.35" hidden="false" customHeight="false" outlineLevel="0" collapsed="false">
      <c r="A63" s="10" t="n">
        <v>62</v>
      </c>
      <c r="B63" s="11" t="s">
        <v>56</v>
      </c>
      <c r="C63" s="10" t="s">
        <v>167</v>
      </c>
      <c r="D63" s="10" t="s">
        <v>168</v>
      </c>
      <c r="E63" s="10" t="s">
        <v>169</v>
      </c>
      <c r="F63" s="10" t="s">
        <v>170</v>
      </c>
      <c r="G63" s="12" t="n">
        <v>46990</v>
      </c>
      <c r="H63" s="10" t="s">
        <v>16</v>
      </c>
      <c r="I63" s="10" t="n">
        <v>16</v>
      </c>
      <c r="J63" s="10" t="s">
        <v>57</v>
      </c>
      <c r="K63" s="12" t="n">
        <v>46281</v>
      </c>
      <c r="L63" s="13" t="n">
        <f aca="false">IF(K63="","",K63-Resumo!$B$3)</f>
        <v>-37</v>
      </c>
      <c r="M63" s="10" t="s">
        <v>58</v>
      </c>
      <c r="N63" s="10" t="s">
        <v>59</v>
      </c>
      <c r="O63" s="14"/>
      <c r="P63" s="14" t="s">
        <v>23</v>
      </c>
      <c r="Q63" s="15"/>
      <c r="R63" s="14"/>
    </row>
    <row r="64" customFormat="false" ht="22.35" hidden="false" customHeight="false" outlineLevel="0" collapsed="false">
      <c r="A64" s="10" t="n">
        <v>63</v>
      </c>
      <c r="B64" s="11" t="s">
        <v>75</v>
      </c>
      <c r="C64" s="10" t="s">
        <v>172</v>
      </c>
      <c r="D64" s="10" t="s">
        <v>91</v>
      </c>
      <c r="E64" s="10" t="s">
        <v>173</v>
      </c>
      <c r="F64" s="10" t="s">
        <v>174</v>
      </c>
      <c r="G64" s="12" t="n">
        <v>47087</v>
      </c>
      <c r="H64" s="10" t="s">
        <v>10</v>
      </c>
      <c r="I64" s="10"/>
      <c r="J64" s="10" t="s">
        <v>57</v>
      </c>
      <c r="K64" s="12" t="n">
        <v>46274</v>
      </c>
      <c r="L64" s="13" t="n">
        <f aca="false">IF(K64="","",K64-Resumo!$B$3)</f>
        <v>-44</v>
      </c>
      <c r="M64" s="10" t="s">
        <v>175</v>
      </c>
      <c r="N64" s="10" t="s">
        <v>53</v>
      </c>
      <c r="O64" s="14"/>
      <c r="P64" s="14" t="s">
        <v>23</v>
      </c>
      <c r="Q64" s="15"/>
      <c r="R64" s="14"/>
    </row>
    <row r="65" customFormat="false" ht="32.8" hidden="false" customHeight="false" outlineLevel="0" collapsed="false">
      <c r="A65" s="10" t="n">
        <v>64</v>
      </c>
      <c r="B65" s="11" t="s">
        <v>56</v>
      </c>
      <c r="C65" s="10" t="s">
        <v>172</v>
      </c>
      <c r="D65" s="10" t="s">
        <v>91</v>
      </c>
      <c r="E65" s="10" t="s">
        <v>173</v>
      </c>
      <c r="F65" s="10" t="s">
        <v>174</v>
      </c>
      <c r="G65" s="12" t="n">
        <v>47087</v>
      </c>
      <c r="H65" s="10" t="s">
        <v>15</v>
      </c>
      <c r="I65" s="10" t="n">
        <v>5</v>
      </c>
      <c r="J65" s="10" t="s">
        <v>57</v>
      </c>
      <c r="K65" s="12" t="n">
        <v>45997</v>
      </c>
      <c r="L65" s="13" t="n">
        <f aca="false">IF(K65="","",K65-Resumo!$B$3)</f>
        <v>-321</v>
      </c>
      <c r="M65" s="10" t="s">
        <v>176</v>
      </c>
      <c r="N65" s="10" t="s">
        <v>55</v>
      </c>
      <c r="O65" s="14"/>
      <c r="P65" s="14" t="s">
        <v>23</v>
      </c>
      <c r="Q65" s="15"/>
      <c r="R65" s="14"/>
    </row>
    <row r="66" customFormat="false" ht="22.35" hidden="false" customHeight="false" outlineLevel="0" collapsed="false">
      <c r="A66" s="10" t="n">
        <v>65</v>
      </c>
      <c r="B66" s="11" t="s">
        <v>56</v>
      </c>
      <c r="C66" s="10" t="s">
        <v>172</v>
      </c>
      <c r="D66" s="10" t="s">
        <v>91</v>
      </c>
      <c r="E66" s="10" t="s">
        <v>173</v>
      </c>
      <c r="F66" s="10" t="s">
        <v>174</v>
      </c>
      <c r="G66" s="12" t="n">
        <v>47087</v>
      </c>
      <c r="H66" s="10" t="s">
        <v>16</v>
      </c>
      <c r="I66" s="10" t="n">
        <v>16</v>
      </c>
      <c r="J66" s="10" t="s">
        <v>57</v>
      </c>
      <c r="K66" s="12" t="n">
        <v>46281</v>
      </c>
      <c r="L66" s="13" t="n">
        <f aca="false">IF(K66="","",K66-Resumo!$B$3)</f>
        <v>-37</v>
      </c>
      <c r="M66" s="10" t="s">
        <v>58</v>
      </c>
      <c r="N66" s="10" t="s">
        <v>59</v>
      </c>
      <c r="O66" s="14"/>
      <c r="P66" s="14" t="s">
        <v>23</v>
      </c>
      <c r="Q66" s="15"/>
      <c r="R66" s="14"/>
    </row>
    <row r="67" customFormat="false" ht="22.35" hidden="false" customHeight="false" outlineLevel="0" collapsed="false">
      <c r="A67" s="10" t="n">
        <v>66</v>
      </c>
      <c r="B67" s="11" t="s">
        <v>75</v>
      </c>
      <c r="C67" s="10" t="s">
        <v>177</v>
      </c>
      <c r="D67" s="10" t="s">
        <v>91</v>
      </c>
      <c r="E67" s="10" t="s">
        <v>178</v>
      </c>
      <c r="F67" s="10" t="s">
        <v>179</v>
      </c>
      <c r="G67" s="12" t="n">
        <v>47854</v>
      </c>
      <c r="H67" s="10" t="s">
        <v>10</v>
      </c>
      <c r="I67" s="10"/>
      <c r="J67" s="10" t="s">
        <v>57</v>
      </c>
      <c r="K67" s="12" t="n">
        <v>46316</v>
      </c>
      <c r="L67" s="13" t="n">
        <f aca="false">IF(K67="","",K67-Resumo!$B$3)</f>
        <v>-2</v>
      </c>
      <c r="M67" s="10" t="s">
        <v>180</v>
      </c>
      <c r="N67" s="10" t="s">
        <v>53</v>
      </c>
      <c r="O67" s="14"/>
      <c r="P67" s="14" t="s">
        <v>23</v>
      </c>
      <c r="Q67" s="15"/>
      <c r="R67" s="14"/>
    </row>
    <row r="68" customFormat="false" ht="22.35" hidden="false" customHeight="false" outlineLevel="0" collapsed="false">
      <c r="A68" s="10" t="n">
        <v>67</v>
      </c>
      <c r="B68" s="11" t="s">
        <v>56</v>
      </c>
      <c r="C68" s="10" t="s">
        <v>177</v>
      </c>
      <c r="D68" s="10" t="s">
        <v>91</v>
      </c>
      <c r="E68" s="10" t="s">
        <v>178</v>
      </c>
      <c r="F68" s="10" t="s">
        <v>179</v>
      </c>
      <c r="G68" s="12" t="n">
        <v>47854</v>
      </c>
      <c r="H68" s="10" t="s">
        <v>16</v>
      </c>
      <c r="I68" s="10" t="n">
        <v>18</v>
      </c>
      <c r="J68" s="10" t="s">
        <v>57</v>
      </c>
      <c r="K68" s="12" t="n">
        <v>46281</v>
      </c>
      <c r="L68" s="13" t="n">
        <f aca="false">IF(K68="","",K68-Resumo!$B$3)</f>
        <v>-37</v>
      </c>
      <c r="M68" s="10" t="s">
        <v>58</v>
      </c>
      <c r="N68" s="10" t="s">
        <v>59</v>
      </c>
      <c r="O68" s="14"/>
      <c r="P68" s="14" t="s">
        <v>23</v>
      </c>
      <c r="Q68" s="15"/>
      <c r="R68" s="14"/>
    </row>
    <row r="69" customFormat="false" ht="22.35" hidden="false" customHeight="false" outlineLevel="0" collapsed="false">
      <c r="A69" s="10" t="n">
        <v>68</v>
      </c>
      <c r="B69" s="11" t="s">
        <v>56</v>
      </c>
      <c r="C69" s="10" t="s">
        <v>181</v>
      </c>
      <c r="D69" s="10" t="s">
        <v>182</v>
      </c>
      <c r="E69" s="10" t="s">
        <v>183</v>
      </c>
      <c r="F69" s="10" t="s">
        <v>184</v>
      </c>
      <c r="G69" s="12" t="n">
        <v>46031</v>
      </c>
      <c r="H69" s="10" t="s">
        <v>9</v>
      </c>
      <c r="I69" s="10" t="n">
        <v>19</v>
      </c>
      <c r="J69" s="10" t="s">
        <v>57</v>
      </c>
      <c r="K69" s="12" t="n">
        <v>45911</v>
      </c>
      <c r="L69" s="13" t="n">
        <f aca="false">IF(K69="","",K69-Resumo!$B$3)</f>
        <v>-407</v>
      </c>
      <c r="M69" s="10" t="s">
        <v>185</v>
      </c>
      <c r="N69" s="10" t="s">
        <v>95</v>
      </c>
      <c r="O69" s="14"/>
      <c r="P69" s="14" t="s">
        <v>23</v>
      </c>
      <c r="Q69" s="15"/>
      <c r="R69" s="14"/>
    </row>
    <row r="70" customFormat="false" ht="32.8" hidden="false" customHeight="false" outlineLevel="0" collapsed="false">
      <c r="A70" s="10" t="n">
        <v>69</v>
      </c>
      <c r="B70" s="11" t="s">
        <v>75</v>
      </c>
      <c r="C70" s="10" t="s">
        <v>181</v>
      </c>
      <c r="D70" s="10" t="s">
        <v>182</v>
      </c>
      <c r="E70" s="10" t="s">
        <v>183</v>
      </c>
      <c r="F70" s="10" t="s">
        <v>184</v>
      </c>
      <c r="G70" s="12" t="n">
        <v>46031</v>
      </c>
      <c r="H70" s="10" t="s">
        <v>10</v>
      </c>
      <c r="I70" s="10"/>
      <c r="J70" s="10" t="s">
        <v>57</v>
      </c>
      <c r="K70" s="12" t="n">
        <v>45659</v>
      </c>
      <c r="L70" s="13" t="n">
        <f aca="false">IF(K70="","",K70-Resumo!$B$3)</f>
        <v>-659</v>
      </c>
      <c r="M70" s="10" t="s">
        <v>186</v>
      </c>
      <c r="N70" s="10" t="s">
        <v>53</v>
      </c>
      <c r="O70" s="14"/>
      <c r="P70" s="14" t="s">
        <v>23</v>
      </c>
      <c r="Q70" s="15"/>
      <c r="R70" s="14"/>
    </row>
    <row r="71" customFormat="false" ht="22.35" hidden="false" customHeight="false" outlineLevel="0" collapsed="false">
      <c r="A71" s="10" t="n">
        <v>70</v>
      </c>
      <c r="B71" s="11" t="s">
        <v>75</v>
      </c>
      <c r="C71" s="10" t="s">
        <v>181</v>
      </c>
      <c r="D71" s="10" t="s">
        <v>182</v>
      </c>
      <c r="E71" s="10" t="s">
        <v>183</v>
      </c>
      <c r="F71" s="10" t="s">
        <v>184</v>
      </c>
      <c r="G71" s="12" t="n">
        <v>46031</v>
      </c>
      <c r="H71" s="10" t="s">
        <v>14</v>
      </c>
      <c r="I71" s="10" t="n">
        <v>14</v>
      </c>
      <c r="J71" s="10" t="s">
        <v>57</v>
      </c>
      <c r="K71" s="12" t="n">
        <v>46083</v>
      </c>
      <c r="L71" s="13" t="n">
        <f aca="false">IF(K71="","",K71-Resumo!$B$3)</f>
        <v>-235</v>
      </c>
      <c r="M71" s="10" t="s">
        <v>187</v>
      </c>
      <c r="N71" s="10" t="s">
        <v>188</v>
      </c>
      <c r="O71" s="14"/>
      <c r="P71" s="14" t="s">
        <v>23</v>
      </c>
      <c r="Q71" s="15"/>
      <c r="R71" s="14"/>
    </row>
    <row r="72" customFormat="false" ht="32.8" hidden="false" customHeight="false" outlineLevel="0" collapsed="false">
      <c r="A72" s="10" t="n">
        <v>71</v>
      </c>
      <c r="B72" s="11" t="s">
        <v>56</v>
      </c>
      <c r="C72" s="10" t="s">
        <v>181</v>
      </c>
      <c r="D72" s="10" t="s">
        <v>182</v>
      </c>
      <c r="E72" s="10" t="s">
        <v>183</v>
      </c>
      <c r="F72" s="10" t="s">
        <v>184</v>
      </c>
      <c r="G72" s="12" t="n">
        <v>46031</v>
      </c>
      <c r="H72" s="10" t="s">
        <v>15</v>
      </c>
      <c r="I72" s="10" t="n">
        <v>5</v>
      </c>
      <c r="J72" s="10" t="s">
        <v>57</v>
      </c>
      <c r="K72" s="12" t="n">
        <v>45514</v>
      </c>
      <c r="L72" s="13" t="n">
        <f aca="false">IF(K72="","",K72-Resumo!$B$3)</f>
        <v>-804</v>
      </c>
      <c r="M72" s="10" t="s">
        <v>189</v>
      </c>
      <c r="N72" s="10" t="s">
        <v>55</v>
      </c>
      <c r="O72" s="14"/>
      <c r="P72" s="14" t="s">
        <v>23</v>
      </c>
      <c r="Q72" s="15"/>
      <c r="R72" s="14"/>
    </row>
    <row r="73" customFormat="false" ht="22.35" hidden="false" customHeight="false" outlineLevel="0" collapsed="false">
      <c r="A73" s="10" t="n">
        <v>72</v>
      </c>
      <c r="B73" s="11" t="s">
        <v>56</v>
      </c>
      <c r="C73" s="10" t="s">
        <v>181</v>
      </c>
      <c r="D73" s="10" t="s">
        <v>182</v>
      </c>
      <c r="E73" s="10" t="s">
        <v>183</v>
      </c>
      <c r="F73" s="10" t="s">
        <v>184</v>
      </c>
      <c r="G73" s="12" t="n">
        <v>46031</v>
      </c>
      <c r="H73" s="10" t="s">
        <v>16</v>
      </c>
      <c r="I73" s="10" t="n">
        <v>15</v>
      </c>
      <c r="J73" s="10" t="s">
        <v>57</v>
      </c>
      <c r="K73" s="12" t="n">
        <v>45356</v>
      </c>
      <c r="L73" s="13" t="n">
        <f aca="false">IF(K73="","",K73-Resumo!$B$3)</f>
        <v>-962</v>
      </c>
      <c r="M73" s="10" t="s">
        <v>190</v>
      </c>
      <c r="N73" s="10" t="s">
        <v>59</v>
      </c>
      <c r="O73" s="14"/>
      <c r="P73" s="14" t="s">
        <v>23</v>
      </c>
      <c r="Q73" s="15"/>
      <c r="R73" s="14"/>
    </row>
    <row r="74" customFormat="false" ht="22.35" hidden="false" customHeight="false" outlineLevel="0" collapsed="false">
      <c r="A74" s="10" t="n">
        <v>73</v>
      </c>
      <c r="B74" s="11" t="s">
        <v>46</v>
      </c>
      <c r="C74" s="10" t="s">
        <v>191</v>
      </c>
      <c r="D74" s="10" t="s">
        <v>192</v>
      </c>
      <c r="E74" s="10" t="s">
        <v>193</v>
      </c>
      <c r="F74" s="10" t="s">
        <v>194</v>
      </c>
      <c r="G74" s="12" t="n">
        <v>46729</v>
      </c>
      <c r="H74" s="10" t="s">
        <v>16</v>
      </c>
      <c r="I74" s="10" t="n">
        <v>15</v>
      </c>
      <c r="J74" s="10" t="s">
        <v>6</v>
      </c>
      <c r="K74" s="12"/>
      <c r="L74" s="13" t="str">
        <f aca="false">IF(K74="","",K74-Resumo!$B$3)</f>
        <v/>
      </c>
      <c r="M74" s="10" t="s">
        <v>74</v>
      </c>
      <c r="N74" s="10" t="s">
        <v>59</v>
      </c>
      <c r="O74" s="14"/>
      <c r="P74" s="14" t="s">
        <v>23</v>
      </c>
      <c r="Q74" s="15"/>
      <c r="R74" s="14"/>
    </row>
    <row r="75" customFormat="false" ht="22.35" hidden="false" customHeight="false" outlineLevel="0" collapsed="false">
      <c r="A75" s="10" t="n">
        <v>74</v>
      </c>
      <c r="B75" s="11" t="s">
        <v>75</v>
      </c>
      <c r="C75" s="10" t="s">
        <v>195</v>
      </c>
      <c r="D75" s="10" t="s">
        <v>66</v>
      </c>
      <c r="E75" s="10" t="s">
        <v>196</v>
      </c>
      <c r="F75" s="10" t="s">
        <v>197</v>
      </c>
      <c r="G75" s="12" t="n">
        <v>48171</v>
      </c>
      <c r="H75" s="10" t="s">
        <v>10</v>
      </c>
      <c r="I75" s="10"/>
      <c r="J75" s="10" t="s">
        <v>57</v>
      </c>
      <c r="K75" s="12" t="n">
        <v>46272</v>
      </c>
      <c r="L75" s="13" t="n">
        <f aca="false">IF(K75="","",K75-Resumo!$B$3)</f>
        <v>-46</v>
      </c>
      <c r="M75" s="10" t="s">
        <v>198</v>
      </c>
      <c r="N75" s="10" t="s">
        <v>53</v>
      </c>
      <c r="O75" s="14"/>
      <c r="P75" s="14" t="s">
        <v>23</v>
      </c>
      <c r="Q75" s="15"/>
      <c r="R75" s="14"/>
    </row>
    <row r="76" customFormat="false" ht="32.8" hidden="false" customHeight="false" outlineLevel="0" collapsed="false">
      <c r="A76" s="10" t="n">
        <v>75</v>
      </c>
      <c r="B76" s="11" t="s">
        <v>56</v>
      </c>
      <c r="C76" s="10" t="s">
        <v>195</v>
      </c>
      <c r="D76" s="10" t="s">
        <v>66</v>
      </c>
      <c r="E76" s="10" t="s">
        <v>196</v>
      </c>
      <c r="F76" s="10" t="s">
        <v>197</v>
      </c>
      <c r="G76" s="12" t="n">
        <v>48171</v>
      </c>
      <c r="H76" s="10" t="s">
        <v>15</v>
      </c>
      <c r="I76" s="10" t="n">
        <v>5</v>
      </c>
      <c r="J76" s="10" t="s">
        <v>57</v>
      </c>
      <c r="K76" s="12" t="n">
        <v>46309</v>
      </c>
      <c r="L76" s="13" t="n">
        <f aca="false">IF(K76="","",K76-Resumo!$B$3)</f>
        <v>-9</v>
      </c>
      <c r="M76" s="10" t="s">
        <v>199</v>
      </c>
      <c r="N76" s="10" t="s">
        <v>55</v>
      </c>
      <c r="O76" s="14"/>
      <c r="P76" s="14" t="s">
        <v>23</v>
      </c>
      <c r="Q76" s="15"/>
      <c r="R76" s="14"/>
    </row>
    <row r="77" customFormat="false" ht="22.35" hidden="false" customHeight="false" outlineLevel="0" collapsed="false">
      <c r="A77" s="10" t="n">
        <v>76</v>
      </c>
      <c r="B77" s="11" t="s">
        <v>56</v>
      </c>
      <c r="C77" s="10" t="s">
        <v>195</v>
      </c>
      <c r="D77" s="10" t="s">
        <v>66</v>
      </c>
      <c r="E77" s="10" t="s">
        <v>196</v>
      </c>
      <c r="F77" s="10" t="s">
        <v>197</v>
      </c>
      <c r="G77" s="12" t="n">
        <v>48171</v>
      </c>
      <c r="H77" s="10" t="s">
        <v>16</v>
      </c>
      <c r="I77" s="10" t="n">
        <v>15</v>
      </c>
      <c r="J77" s="10" t="s">
        <v>57</v>
      </c>
      <c r="K77" s="12" t="n">
        <v>46281</v>
      </c>
      <c r="L77" s="13" t="n">
        <f aca="false">IF(K77="","",K77-Resumo!$B$3)</f>
        <v>-37</v>
      </c>
      <c r="M77" s="10" t="s">
        <v>58</v>
      </c>
      <c r="N77" s="10" t="s">
        <v>59</v>
      </c>
      <c r="O77" s="14"/>
      <c r="P77" s="14" t="s">
        <v>23</v>
      </c>
      <c r="Q77" s="15"/>
      <c r="R77" s="14"/>
    </row>
    <row r="78" customFormat="false" ht="22.35" hidden="false" customHeight="false" outlineLevel="0" collapsed="false">
      <c r="A78" s="10" t="n">
        <v>77</v>
      </c>
      <c r="B78" s="11" t="s">
        <v>56</v>
      </c>
      <c r="C78" s="10" t="s">
        <v>200</v>
      </c>
      <c r="D78" s="10" t="s">
        <v>201</v>
      </c>
      <c r="E78" s="10" t="s">
        <v>202</v>
      </c>
      <c r="F78" s="10" t="s">
        <v>203</v>
      </c>
      <c r="G78" s="12" t="n">
        <v>46288</v>
      </c>
      <c r="H78" s="10" t="s">
        <v>9</v>
      </c>
      <c r="I78" s="10" t="n">
        <v>18</v>
      </c>
      <c r="J78" s="10" t="s">
        <v>57</v>
      </c>
      <c r="K78" s="12" t="n">
        <v>46168</v>
      </c>
      <c r="L78" s="13" t="n">
        <f aca="false">IF(K78="","",K78-Resumo!$B$3)</f>
        <v>-150</v>
      </c>
      <c r="M78" s="10" t="s">
        <v>204</v>
      </c>
      <c r="N78" s="10" t="s">
        <v>95</v>
      </c>
      <c r="O78" s="14"/>
      <c r="P78" s="14" t="s">
        <v>23</v>
      </c>
      <c r="Q78" s="15"/>
      <c r="R78" s="14"/>
    </row>
    <row r="79" customFormat="false" ht="22.35" hidden="false" customHeight="false" outlineLevel="0" collapsed="false">
      <c r="A79" s="10" t="n">
        <v>78</v>
      </c>
      <c r="B79" s="11" t="s">
        <v>75</v>
      </c>
      <c r="C79" s="10" t="s">
        <v>200</v>
      </c>
      <c r="D79" s="10" t="s">
        <v>201</v>
      </c>
      <c r="E79" s="10" t="s">
        <v>202</v>
      </c>
      <c r="F79" s="10" t="s">
        <v>205</v>
      </c>
      <c r="G79" s="12" t="n">
        <v>48005</v>
      </c>
      <c r="H79" s="10" t="s">
        <v>12</v>
      </c>
      <c r="I79" s="10" t="n">
        <v>12</v>
      </c>
      <c r="J79" s="10" t="s">
        <v>57</v>
      </c>
      <c r="K79" s="12" t="n">
        <v>46163</v>
      </c>
      <c r="L79" s="13" t="n">
        <f aca="false">IF(K79="","",K79-Resumo!$B$3)</f>
        <v>-155</v>
      </c>
      <c r="M79" s="10" t="s">
        <v>80</v>
      </c>
      <c r="N79" s="10" t="s">
        <v>81</v>
      </c>
      <c r="O79" s="14"/>
      <c r="P79" s="14" t="s">
        <v>23</v>
      </c>
      <c r="Q79" s="15"/>
      <c r="R79" s="14"/>
    </row>
    <row r="80" customFormat="false" ht="32.8" hidden="false" customHeight="false" outlineLevel="0" collapsed="false">
      <c r="A80" s="10" t="n">
        <v>79</v>
      </c>
      <c r="B80" s="11" t="s">
        <v>46</v>
      </c>
      <c r="C80" s="10" t="s">
        <v>200</v>
      </c>
      <c r="D80" s="10" t="s">
        <v>201</v>
      </c>
      <c r="E80" s="10" t="s">
        <v>202</v>
      </c>
      <c r="F80" s="10" t="s">
        <v>203</v>
      </c>
      <c r="G80" s="12" t="n">
        <v>46288</v>
      </c>
      <c r="H80" s="10" t="s">
        <v>15</v>
      </c>
      <c r="I80" s="10" t="n">
        <v>4</v>
      </c>
      <c r="J80" s="10" t="s">
        <v>6</v>
      </c>
      <c r="K80" s="12"/>
      <c r="L80" s="13" t="str">
        <f aca="false">IF(K80="","",K80-Resumo!$B$3)</f>
        <v/>
      </c>
      <c r="M80" s="10" t="s">
        <v>74</v>
      </c>
      <c r="N80" s="10" t="s">
        <v>55</v>
      </c>
      <c r="O80" s="14"/>
      <c r="P80" s="14" t="s">
        <v>23</v>
      </c>
      <c r="Q80" s="15"/>
      <c r="R80" s="14"/>
    </row>
    <row r="81" customFormat="false" ht="22.35" hidden="false" customHeight="false" outlineLevel="0" collapsed="false">
      <c r="A81" s="10" t="n">
        <v>80</v>
      </c>
      <c r="B81" s="11" t="s">
        <v>56</v>
      </c>
      <c r="C81" s="10" t="s">
        <v>200</v>
      </c>
      <c r="D81" s="10" t="s">
        <v>201</v>
      </c>
      <c r="E81" s="10" t="s">
        <v>202</v>
      </c>
      <c r="F81" s="10" t="s">
        <v>203</v>
      </c>
      <c r="G81" s="12" t="n">
        <v>46288</v>
      </c>
      <c r="H81" s="10" t="s">
        <v>16</v>
      </c>
      <c r="I81" s="10" t="n">
        <v>14</v>
      </c>
      <c r="J81" s="10" t="s">
        <v>57</v>
      </c>
      <c r="K81" s="12" t="n">
        <v>46283</v>
      </c>
      <c r="L81" s="13" t="n">
        <f aca="false">IF(K81="","",K81-Resumo!$B$3)</f>
        <v>-35</v>
      </c>
      <c r="M81" s="10" t="s">
        <v>206</v>
      </c>
      <c r="N81" s="10" t="s">
        <v>59</v>
      </c>
      <c r="O81" s="14"/>
      <c r="P81" s="14" t="s">
        <v>23</v>
      </c>
      <c r="Q81" s="15"/>
      <c r="R81" s="14"/>
    </row>
    <row r="82" customFormat="false" ht="32.8" hidden="false" customHeight="false" outlineLevel="0" collapsed="false">
      <c r="A82" s="10" t="n">
        <v>81</v>
      </c>
      <c r="B82" s="11" t="s">
        <v>56</v>
      </c>
      <c r="C82" s="10" t="s">
        <v>207</v>
      </c>
      <c r="D82" s="10" t="s">
        <v>208</v>
      </c>
      <c r="E82" s="10" t="s">
        <v>209</v>
      </c>
      <c r="F82" s="10" t="s">
        <v>210</v>
      </c>
      <c r="G82" s="12" t="n">
        <v>46798</v>
      </c>
      <c r="H82" s="10" t="s">
        <v>15</v>
      </c>
      <c r="I82" s="10" t="n">
        <v>5</v>
      </c>
      <c r="J82" s="10" t="s">
        <v>51</v>
      </c>
      <c r="K82" s="12" t="n">
        <v>46323</v>
      </c>
      <c r="L82" s="13" t="n">
        <f aca="false">IF(K82="","",K82-Resumo!$B$3)</f>
        <v>5</v>
      </c>
      <c r="M82" s="10" t="s">
        <v>211</v>
      </c>
      <c r="N82" s="10" t="s">
        <v>55</v>
      </c>
      <c r="O82" s="14"/>
      <c r="P82" s="14" t="s">
        <v>23</v>
      </c>
      <c r="Q82" s="15"/>
      <c r="R82" s="14"/>
    </row>
    <row r="83" customFormat="false" ht="22.35" hidden="false" customHeight="false" outlineLevel="0" collapsed="false">
      <c r="A83" s="10" t="n">
        <v>82</v>
      </c>
      <c r="B83" s="11" t="s">
        <v>56</v>
      </c>
      <c r="C83" s="10" t="s">
        <v>207</v>
      </c>
      <c r="D83" s="10" t="s">
        <v>208</v>
      </c>
      <c r="E83" s="10" t="s">
        <v>209</v>
      </c>
      <c r="F83" s="10" t="s">
        <v>210</v>
      </c>
      <c r="G83" s="12" t="n">
        <v>46798</v>
      </c>
      <c r="H83" s="10" t="s">
        <v>16</v>
      </c>
      <c r="I83" s="10" t="n">
        <v>16</v>
      </c>
      <c r="J83" s="10" t="s">
        <v>57</v>
      </c>
      <c r="K83" s="12" t="n">
        <v>46281</v>
      </c>
      <c r="L83" s="13" t="n">
        <f aca="false">IF(K83="","",K83-Resumo!$B$3)</f>
        <v>-37</v>
      </c>
      <c r="M83" s="10" t="s">
        <v>58</v>
      </c>
      <c r="N83" s="10" t="s">
        <v>59</v>
      </c>
      <c r="O83" s="14"/>
      <c r="P83" s="14" t="s">
        <v>23</v>
      </c>
      <c r="Q83" s="15"/>
      <c r="R83" s="14"/>
    </row>
    <row r="84" customFormat="false" ht="22.35" hidden="false" customHeight="false" outlineLevel="0" collapsed="false">
      <c r="A84" s="10" t="n">
        <v>83</v>
      </c>
      <c r="B84" s="11" t="s">
        <v>46</v>
      </c>
      <c r="C84" s="10" t="s">
        <v>207</v>
      </c>
      <c r="D84" s="10" t="s">
        <v>208</v>
      </c>
      <c r="E84" s="10" t="s">
        <v>209</v>
      </c>
      <c r="F84" s="10" t="s">
        <v>210</v>
      </c>
      <c r="G84" s="12" t="n">
        <v>46798</v>
      </c>
      <c r="H84" s="10" t="s">
        <v>20</v>
      </c>
      <c r="I84" s="10" t="n">
        <v>15</v>
      </c>
      <c r="J84" s="10" t="s">
        <v>6</v>
      </c>
      <c r="K84" s="12"/>
      <c r="L84" s="13" t="str">
        <f aca="false">IF(K84="","",K84-Resumo!$B$3)</f>
        <v/>
      </c>
      <c r="M84" s="10" t="s">
        <v>74</v>
      </c>
      <c r="N84" s="10" t="s">
        <v>131</v>
      </c>
      <c r="O84" s="14"/>
      <c r="P84" s="14" t="s">
        <v>23</v>
      </c>
      <c r="Q84" s="15"/>
      <c r="R84" s="14"/>
    </row>
    <row r="85" customFormat="false" ht="22.35" hidden="false" customHeight="false" outlineLevel="0" collapsed="false">
      <c r="A85" s="10" t="n">
        <v>84</v>
      </c>
      <c r="B85" s="11" t="s">
        <v>56</v>
      </c>
      <c r="C85" s="10" t="s">
        <v>212</v>
      </c>
      <c r="D85" s="10" t="s">
        <v>213</v>
      </c>
      <c r="E85" s="10" t="s">
        <v>214</v>
      </c>
      <c r="F85" s="10" t="s">
        <v>215</v>
      </c>
      <c r="G85" s="12" t="n">
        <v>47004</v>
      </c>
      <c r="H85" s="10" t="s">
        <v>16</v>
      </c>
      <c r="I85" s="10" t="n">
        <v>16</v>
      </c>
      <c r="J85" s="10" t="s">
        <v>57</v>
      </c>
      <c r="K85" s="12" t="n">
        <v>46280</v>
      </c>
      <c r="L85" s="13" t="n">
        <f aca="false">IF(K85="","",K85-Resumo!$B$3)</f>
        <v>-38</v>
      </c>
      <c r="M85" s="10" t="s">
        <v>216</v>
      </c>
      <c r="N85" s="10" t="s">
        <v>59</v>
      </c>
      <c r="O85" s="14"/>
      <c r="P85" s="14" t="s">
        <v>23</v>
      </c>
      <c r="Q85" s="15"/>
      <c r="R85" s="14"/>
    </row>
    <row r="86" customFormat="false" ht="22.35" hidden="false" customHeight="false" outlineLevel="0" collapsed="false">
      <c r="A86" s="10" t="n">
        <v>85</v>
      </c>
      <c r="B86" s="11" t="s">
        <v>46</v>
      </c>
      <c r="C86" s="10" t="s">
        <v>212</v>
      </c>
      <c r="D86" s="10" t="s">
        <v>213</v>
      </c>
      <c r="E86" s="10" t="s">
        <v>214</v>
      </c>
      <c r="F86" s="10" t="s">
        <v>215</v>
      </c>
      <c r="G86" s="12" t="n">
        <v>47004</v>
      </c>
      <c r="H86" s="10" t="s">
        <v>17</v>
      </c>
      <c r="I86" s="10" t="n">
        <v>15</v>
      </c>
      <c r="J86" s="10" t="s">
        <v>51</v>
      </c>
      <c r="K86" s="12" t="n">
        <v>46344</v>
      </c>
      <c r="L86" s="13" t="n">
        <f aca="false">IF(K86="","",K86-Resumo!$B$3)</f>
        <v>26</v>
      </c>
      <c r="M86" s="10" t="s">
        <v>217</v>
      </c>
      <c r="N86" s="10" t="s">
        <v>86</v>
      </c>
      <c r="O86" s="14"/>
      <c r="P86" s="14" t="s">
        <v>23</v>
      </c>
      <c r="Q86" s="15"/>
      <c r="R86" s="14"/>
    </row>
    <row r="87" customFormat="false" ht="22.35" hidden="false" customHeight="false" outlineLevel="0" collapsed="false">
      <c r="A87" s="10" t="n">
        <v>86</v>
      </c>
      <c r="B87" s="11" t="s">
        <v>56</v>
      </c>
      <c r="C87" s="10" t="s">
        <v>218</v>
      </c>
      <c r="D87" s="10" t="s">
        <v>48</v>
      </c>
      <c r="E87" s="10" t="s">
        <v>219</v>
      </c>
      <c r="F87" s="10" t="s">
        <v>220</v>
      </c>
      <c r="G87" s="12" t="n">
        <v>46046</v>
      </c>
      <c r="H87" s="10" t="s">
        <v>9</v>
      </c>
      <c r="I87" s="10" t="n">
        <v>20</v>
      </c>
      <c r="J87" s="10" t="s">
        <v>57</v>
      </c>
      <c r="K87" s="12" t="n">
        <v>45926</v>
      </c>
      <c r="L87" s="13" t="n">
        <f aca="false">IF(K87="","",K87-Resumo!$B$3)</f>
        <v>-392</v>
      </c>
      <c r="M87" s="10" t="s">
        <v>221</v>
      </c>
      <c r="N87" s="10" t="s">
        <v>95</v>
      </c>
      <c r="O87" s="14"/>
      <c r="P87" s="14" t="s">
        <v>23</v>
      </c>
      <c r="Q87" s="15"/>
      <c r="R87" s="14"/>
    </row>
    <row r="88" customFormat="false" ht="22.35" hidden="false" customHeight="false" outlineLevel="0" collapsed="false">
      <c r="A88" s="10" t="n">
        <v>87</v>
      </c>
      <c r="B88" s="11" t="s">
        <v>75</v>
      </c>
      <c r="C88" s="10" t="s">
        <v>218</v>
      </c>
      <c r="D88" s="10" t="s">
        <v>48</v>
      </c>
      <c r="E88" s="10" t="s">
        <v>219</v>
      </c>
      <c r="F88" s="10" t="s">
        <v>220</v>
      </c>
      <c r="G88" s="12" t="n">
        <v>46046</v>
      </c>
      <c r="H88" s="10" t="s">
        <v>10</v>
      </c>
      <c r="I88" s="10"/>
      <c r="J88" s="10" t="s">
        <v>57</v>
      </c>
      <c r="K88" s="12" t="n">
        <v>45823</v>
      </c>
      <c r="L88" s="13" t="n">
        <f aca="false">IF(K88="","",K88-Resumo!$B$3)</f>
        <v>-495</v>
      </c>
      <c r="M88" s="10" t="s">
        <v>222</v>
      </c>
      <c r="N88" s="10" t="s">
        <v>53</v>
      </c>
      <c r="O88" s="14"/>
      <c r="P88" s="14" t="s">
        <v>23</v>
      </c>
      <c r="Q88" s="15"/>
      <c r="R88" s="14"/>
    </row>
    <row r="89" customFormat="false" ht="32.8" hidden="false" customHeight="false" outlineLevel="0" collapsed="false">
      <c r="A89" s="10" t="n">
        <v>88</v>
      </c>
      <c r="B89" s="11" t="s">
        <v>56</v>
      </c>
      <c r="C89" s="10" t="s">
        <v>218</v>
      </c>
      <c r="D89" s="10" t="s">
        <v>48</v>
      </c>
      <c r="E89" s="10" t="s">
        <v>219</v>
      </c>
      <c r="F89" s="10" t="s">
        <v>220</v>
      </c>
      <c r="G89" s="12" t="n">
        <v>46046</v>
      </c>
      <c r="H89" s="10" t="s">
        <v>15</v>
      </c>
      <c r="I89" s="10" t="n">
        <v>5</v>
      </c>
      <c r="J89" s="10" t="s">
        <v>57</v>
      </c>
      <c r="K89" s="12" t="n">
        <v>46058</v>
      </c>
      <c r="L89" s="13" t="n">
        <f aca="false">IF(K89="","",K89-Resumo!$B$3)</f>
        <v>-260</v>
      </c>
      <c r="M89" s="10" t="s">
        <v>223</v>
      </c>
      <c r="N89" s="10" t="s">
        <v>55</v>
      </c>
      <c r="O89" s="14"/>
      <c r="P89" s="14" t="s">
        <v>23</v>
      </c>
      <c r="Q89" s="15"/>
      <c r="R89" s="14"/>
    </row>
    <row r="90" customFormat="false" ht="22.35" hidden="false" customHeight="false" outlineLevel="0" collapsed="false">
      <c r="A90" s="10" t="n">
        <v>89</v>
      </c>
      <c r="B90" s="11" t="s">
        <v>56</v>
      </c>
      <c r="C90" s="10" t="s">
        <v>218</v>
      </c>
      <c r="D90" s="10" t="s">
        <v>48</v>
      </c>
      <c r="E90" s="10" t="s">
        <v>219</v>
      </c>
      <c r="F90" s="10" t="s">
        <v>220</v>
      </c>
      <c r="G90" s="12" t="n">
        <v>46046</v>
      </c>
      <c r="H90" s="10" t="s">
        <v>16</v>
      </c>
      <c r="I90" s="10" t="n">
        <v>15</v>
      </c>
      <c r="J90" s="10" t="s">
        <v>57</v>
      </c>
      <c r="K90" s="12" t="n">
        <v>46281</v>
      </c>
      <c r="L90" s="13" t="n">
        <f aca="false">IF(K90="","",K90-Resumo!$B$3)</f>
        <v>-37</v>
      </c>
      <c r="M90" s="10" t="s">
        <v>58</v>
      </c>
      <c r="N90" s="10" t="s">
        <v>59</v>
      </c>
      <c r="O90" s="14"/>
      <c r="P90" s="14" t="s">
        <v>23</v>
      </c>
      <c r="Q90" s="15"/>
      <c r="R90" s="14"/>
    </row>
    <row r="91" customFormat="false" ht="22.35" hidden="false" customHeight="false" outlineLevel="0" collapsed="false">
      <c r="A91" s="10" t="n">
        <v>90</v>
      </c>
      <c r="B91" s="11" t="s">
        <v>56</v>
      </c>
      <c r="C91" s="10" t="s">
        <v>224</v>
      </c>
      <c r="D91" s="10" t="s">
        <v>91</v>
      </c>
      <c r="E91" s="10" t="s">
        <v>225</v>
      </c>
      <c r="F91" s="10" t="s">
        <v>226</v>
      </c>
      <c r="G91" s="12" t="n">
        <v>46970</v>
      </c>
      <c r="H91" s="10" t="s">
        <v>16</v>
      </c>
      <c r="I91" s="10" t="n">
        <v>15</v>
      </c>
      <c r="J91" s="10" t="s">
        <v>57</v>
      </c>
      <c r="K91" s="12" t="n">
        <v>46281</v>
      </c>
      <c r="L91" s="13" t="n">
        <f aca="false">IF(K91="","",K91-Resumo!$B$3)</f>
        <v>-37</v>
      </c>
      <c r="M91" s="10" t="s">
        <v>58</v>
      </c>
      <c r="N91" s="10" t="s">
        <v>59</v>
      </c>
      <c r="O91" s="14"/>
      <c r="P91" s="14" t="s">
        <v>23</v>
      </c>
      <c r="Q91" s="15"/>
      <c r="R91" s="14"/>
    </row>
    <row r="92" customFormat="false" ht="22.35" hidden="false" customHeight="false" outlineLevel="0" collapsed="false">
      <c r="A92" s="10" t="n">
        <v>91</v>
      </c>
      <c r="B92" s="11" t="s">
        <v>56</v>
      </c>
      <c r="C92" s="10" t="s">
        <v>227</v>
      </c>
      <c r="D92" s="10" t="s">
        <v>228</v>
      </c>
      <c r="E92" s="10" t="s">
        <v>229</v>
      </c>
      <c r="F92" s="10" t="s">
        <v>230</v>
      </c>
      <c r="G92" s="12" t="n">
        <v>46505</v>
      </c>
      <c r="H92" s="10" t="s">
        <v>10</v>
      </c>
      <c r="I92" s="10"/>
      <c r="J92" s="10" t="s">
        <v>51</v>
      </c>
      <c r="K92" s="12" t="n">
        <v>46319</v>
      </c>
      <c r="L92" s="13" t="n">
        <f aca="false">IF(K92="","",K92-Resumo!$B$3)</f>
        <v>1</v>
      </c>
      <c r="M92" s="10" t="s">
        <v>231</v>
      </c>
      <c r="N92" s="10" t="s">
        <v>53</v>
      </c>
      <c r="O92" s="14"/>
      <c r="P92" s="14" t="s">
        <v>23</v>
      </c>
      <c r="Q92" s="15"/>
      <c r="R92" s="14"/>
    </row>
    <row r="93" customFormat="false" ht="32.8" hidden="false" customHeight="false" outlineLevel="0" collapsed="false">
      <c r="A93" s="10" t="n">
        <v>92</v>
      </c>
      <c r="B93" s="11" t="s">
        <v>56</v>
      </c>
      <c r="C93" s="10" t="s">
        <v>227</v>
      </c>
      <c r="D93" s="10" t="s">
        <v>228</v>
      </c>
      <c r="E93" s="10" t="s">
        <v>229</v>
      </c>
      <c r="F93" s="10" t="s">
        <v>230</v>
      </c>
      <c r="G93" s="12" t="n">
        <v>46505</v>
      </c>
      <c r="H93" s="10" t="s">
        <v>15</v>
      </c>
      <c r="I93" s="10" t="n">
        <v>5</v>
      </c>
      <c r="J93" s="10" t="s">
        <v>57</v>
      </c>
      <c r="K93" s="12" t="n">
        <v>45891</v>
      </c>
      <c r="L93" s="13" t="n">
        <f aca="false">IF(K93="","",K93-Resumo!$B$3)</f>
        <v>-427</v>
      </c>
      <c r="M93" s="10" t="s">
        <v>232</v>
      </c>
      <c r="N93" s="10" t="s">
        <v>55</v>
      </c>
      <c r="O93" s="14"/>
      <c r="P93" s="14" t="s">
        <v>23</v>
      </c>
      <c r="Q93" s="15"/>
      <c r="R93" s="14"/>
    </row>
    <row r="94" customFormat="false" ht="22.35" hidden="false" customHeight="false" outlineLevel="0" collapsed="false">
      <c r="A94" s="10" t="n">
        <v>93</v>
      </c>
      <c r="B94" s="11" t="s">
        <v>56</v>
      </c>
      <c r="C94" s="10" t="s">
        <v>227</v>
      </c>
      <c r="D94" s="10" t="s">
        <v>228</v>
      </c>
      <c r="E94" s="10" t="s">
        <v>229</v>
      </c>
      <c r="F94" s="10" t="s">
        <v>230</v>
      </c>
      <c r="G94" s="12" t="n">
        <v>46505</v>
      </c>
      <c r="H94" s="10" t="s">
        <v>16</v>
      </c>
      <c r="I94" s="10" t="n">
        <v>15</v>
      </c>
      <c r="J94" s="10" t="s">
        <v>57</v>
      </c>
      <c r="K94" s="12" t="n">
        <v>46282</v>
      </c>
      <c r="L94" s="13" t="n">
        <f aca="false">IF(K94="","",K94-Resumo!$B$3)</f>
        <v>-36</v>
      </c>
      <c r="M94" s="10" t="s">
        <v>85</v>
      </c>
      <c r="N94" s="10" t="s">
        <v>59</v>
      </c>
      <c r="O94" s="14"/>
      <c r="P94" s="14" t="s">
        <v>23</v>
      </c>
      <c r="Q94" s="15"/>
      <c r="R94" s="14"/>
    </row>
    <row r="95" customFormat="false" ht="22.35" hidden="false" customHeight="false" outlineLevel="0" collapsed="false">
      <c r="A95" s="10" t="n">
        <v>94</v>
      </c>
      <c r="B95" s="11" t="s">
        <v>56</v>
      </c>
      <c r="C95" s="10" t="s">
        <v>233</v>
      </c>
      <c r="D95" s="10" t="s">
        <v>234</v>
      </c>
      <c r="E95" s="10" t="s">
        <v>235</v>
      </c>
      <c r="F95" s="10" t="s">
        <v>236</v>
      </c>
      <c r="G95" s="12" t="n">
        <v>46346</v>
      </c>
      <c r="H95" s="10" t="s">
        <v>9</v>
      </c>
      <c r="I95" s="10"/>
      <c r="J95" s="10" t="s">
        <v>57</v>
      </c>
      <c r="K95" s="12" t="n">
        <v>46226</v>
      </c>
      <c r="L95" s="13" t="n">
        <f aca="false">IF(K95="","",K95-Resumo!$B$3)</f>
        <v>-92</v>
      </c>
      <c r="M95" s="10" t="s">
        <v>237</v>
      </c>
      <c r="N95" s="10" t="s">
        <v>95</v>
      </c>
      <c r="O95" s="14"/>
      <c r="P95" s="14" t="s">
        <v>23</v>
      </c>
      <c r="Q95" s="15"/>
      <c r="R95" s="14"/>
    </row>
    <row r="96" customFormat="false" ht="22.35" hidden="false" customHeight="false" outlineLevel="0" collapsed="false">
      <c r="A96" s="10" t="n">
        <v>95</v>
      </c>
      <c r="B96" s="11" t="s">
        <v>56</v>
      </c>
      <c r="C96" s="10" t="s">
        <v>233</v>
      </c>
      <c r="D96" s="10" t="s">
        <v>234</v>
      </c>
      <c r="E96" s="10" t="s">
        <v>235</v>
      </c>
      <c r="F96" s="10" t="s">
        <v>236</v>
      </c>
      <c r="G96" s="12" t="n">
        <v>46346</v>
      </c>
      <c r="H96" s="10" t="s">
        <v>16</v>
      </c>
      <c r="I96" s="10"/>
      <c r="J96" s="10" t="s">
        <v>57</v>
      </c>
      <c r="K96" s="12" t="n">
        <v>46282</v>
      </c>
      <c r="L96" s="13" t="n">
        <f aca="false">IF(K96="","",K96-Resumo!$B$3)</f>
        <v>-36</v>
      </c>
      <c r="M96" s="10" t="s">
        <v>85</v>
      </c>
      <c r="N96" s="10" t="s">
        <v>59</v>
      </c>
      <c r="O96" s="14"/>
      <c r="P96" s="14" t="s">
        <v>23</v>
      </c>
      <c r="Q96" s="15"/>
      <c r="R96" s="14"/>
    </row>
    <row r="97" customFormat="false" ht="22.35" hidden="false" customHeight="false" outlineLevel="0" collapsed="false">
      <c r="A97" s="10" t="n">
        <v>96</v>
      </c>
      <c r="B97" s="11" t="s">
        <v>56</v>
      </c>
      <c r="C97" s="10" t="s">
        <v>238</v>
      </c>
      <c r="D97" s="10" t="s">
        <v>66</v>
      </c>
      <c r="E97" s="10" t="s">
        <v>239</v>
      </c>
      <c r="F97" s="10" t="s">
        <v>240</v>
      </c>
      <c r="G97" s="12" t="n">
        <v>46373</v>
      </c>
      <c r="H97" s="10" t="s">
        <v>9</v>
      </c>
      <c r="I97" s="10" t="n">
        <v>22</v>
      </c>
      <c r="J97" s="10" t="s">
        <v>57</v>
      </c>
      <c r="K97" s="12" t="n">
        <v>46253</v>
      </c>
      <c r="L97" s="13" t="n">
        <f aca="false">IF(K97="","",K97-Resumo!$B$3)</f>
        <v>-65</v>
      </c>
      <c r="M97" s="10" t="s">
        <v>241</v>
      </c>
      <c r="N97" s="10" t="s">
        <v>95</v>
      </c>
      <c r="O97" s="14"/>
      <c r="P97" s="14" t="s">
        <v>23</v>
      </c>
      <c r="Q97" s="15"/>
      <c r="R97" s="14"/>
    </row>
    <row r="98" customFormat="false" ht="32.8" hidden="false" customHeight="false" outlineLevel="0" collapsed="false">
      <c r="A98" s="10" t="n">
        <v>97</v>
      </c>
      <c r="B98" s="11" t="s">
        <v>56</v>
      </c>
      <c r="C98" s="10" t="s">
        <v>238</v>
      </c>
      <c r="D98" s="10" t="s">
        <v>66</v>
      </c>
      <c r="E98" s="10" t="s">
        <v>239</v>
      </c>
      <c r="F98" s="10" t="s">
        <v>240</v>
      </c>
      <c r="G98" s="12" t="n">
        <v>46373</v>
      </c>
      <c r="H98" s="10" t="s">
        <v>15</v>
      </c>
      <c r="I98" s="10" t="n">
        <v>5</v>
      </c>
      <c r="J98" s="10" t="s">
        <v>57</v>
      </c>
      <c r="K98" s="12" t="n">
        <v>45192</v>
      </c>
      <c r="L98" s="13" t="n">
        <f aca="false">IF(K98="","",K98-Resumo!$B$3)</f>
        <v>-1126</v>
      </c>
      <c r="M98" s="10" t="s">
        <v>242</v>
      </c>
      <c r="N98" s="10" t="s">
        <v>55</v>
      </c>
      <c r="O98" s="14"/>
      <c r="P98" s="14" t="s">
        <v>23</v>
      </c>
      <c r="Q98" s="15"/>
      <c r="R98" s="14"/>
    </row>
    <row r="99" customFormat="false" ht="22.35" hidden="false" customHeight="false" outlineLevel="0" collapsed="false">
      <c r="A99" s="10" t="n">
        <v>98</v>
      </c>
      <c r="B99" s="11" t="s">
        <v>56</v>
      </c>
      <c r="C99" s="10" t="s">
        <v>238</v>
      </c>
      <c r="D99" s="10" t="s">
        <v>66</v>
      </c>
      <c r="E99" s="10" t="s">
        <v>239</v>
      </c>
      <c r="F99" s="10" t="s">
        <v>240</v>
      </c>
      <c r="G99" s="12" t="n">
        <v>46373</v>
      </c>
      <c r="H99" s="10" t="s">
        <v>16</v>
      </c>
      <c r="I99" s="10" t="n">
        <v>16</v>
      </c>
      <c r="J99" s="10" t="s">
        <v>57</v>
      </c>
      <c r="K99" s="12" t="n">
        <v>45262</v>
      </c>
      <c r="L99" s="13" t="n">
        <f aca="false">IF(K99="","",K99-Resumo!$B$3)</f>
        <v>-1056</v>
      </c>
      <c r="M99" s="10" t="s">
        <v>243</v>
      </c>
      <c r="N99" s="10" t="s">
        <v>59</v>
      </c>
      <c r="O99" s="14"/>
      <c r="P99" s="14" t="s">
        <v>23</v>
      </c>
      <c r="Q99" s="15"/>
      <c r="R99" s="14"/>
    </row>
    <row r="100" customFormat="false" ht="32.8" hidden="false" customHeight="false" outlineLevel="0" collapsed="false">
      <c r="A100" s="10" t="n">
        <v>99</v>
      </c>
      <c r="B100" s="11" t="s">
        <v>56</v>
      </c>
      <c r="C100" s="10" t="s">
        <v>244</v>
      </c>
      <c r="D100" s="10" t="s">
        <v>245</v>
      </c>
      <c r="E100" s="10" t="s">
        <v>246</v>
      </c>
      <c r="F100" s="10" t="s">
        <v>247</v>
      </c>
      <c r="G100" s="12" t="n">
        <v>48010</v>
      </c>
      <c r="H100" s="10" t="s">
        <v>15</v>
      </c>
      <c r="I100" s="10" t="n">
        <v>5</v>
      </c>
      <c r="J100" s="10" t="s">
        <v>57</v>
      </c>
      <c r="K100" s="12" t="n">
        <v>46127</v>
      </c>
      <c r="L100" s="13" t="n">
        <f aca="false">IF(K100="","",K100-Resumo!$B$3)</f>
        <v>-191</v>
      </c>
      <c r="M100" s="10" t="s">
        <v>248</v>
      </c>
      <c r="N100" s="10" t="s">
        <v>55</v>
      </c>
      <c r="O100" s="14"/>
      <c r="P100" s="14" t="s">
        <v>23</v>
      </c>
      <c r="Q100" s="15"/>
      <c r="R100" s="14"/>
    </row>
    <row r="101" customFormat="false" ht="22.35" hidden="false" customHeight="false" outlineLevel="0" collapsed="false">
      <c r="A101" s="10" t="n">
        <v>100</v>
      </c>
      <c r="B101" s="11" t="s">
        <v>56</v>
      </c>
      <c r="C101" s="10" t="s">
        <v>244</v>
      </c>
      <c r="D101" s="10" t="s">
        <v>245</v>
      </c>
      <c r="E101" s="10" t="s">
        <v>246</v>
      </c>
      <c r="F101" s="10" t="s">
        <v>247</v>
      </c>
      <c r="G101" s="12" t="n">
        <v>48010</v>
      </c>
      <c r="H101" s="10" t="s">
        <v>16</v>
      </c>
      <c r="I101" s="10" t="n">
        <v>15</v>
      </c>
      <c r="J101" s="10" t="s">
        <v>57</v>
      </c>
      <c r="K101" s="12" t="n">
        <v>46280</v>
      </c>
      <c r="L101" s="13" t="n">
        <f aca="false">IF(K101="","",K101-Resumo!$B$3)</f>
        <v>-38</v>
      </c>
      <c r="M101" s="10" t="s">
        <v>216</v>
      </c>
      <c r="N101" s="10" t="s">
        <v>59</v>
      </c>
      <c r="O101" s="14"/>
      <c r="P101" s="14" t="s">
        <v>23</v>
      </c>
      <c r="Q101" s="15"/>
      <c r="R101" s="14"/>
    </row>
    <row r="102" customFormat="false" ht="22.35" hidden="false" customHeight="false" outlineLevel="0" collapsed="false">
      <c r="A102" s="10" t="n">
        <v>101</v>
      </c>
      <c r="B102" s="11" t="s">
        <v>56</v>
      </c>
      <c r="C102" s="10" t="s">
        <v>249</v>
      </c>
      <c r="D102" s="10" t="s">
        <v>250</v>
      </c>
      <c r="E102" s="10" t="s">
        <v>251</v>
      </c>
      <c r="F102" s="10" t="s">
        <v>252</v>
      </c>
      <c r="G102" s="12" t="n">
        <v>46043</v>
      </c>
      <c r="H102" s="10" t="s">
        <v>9</v>
      </c>
      <c r="I102" s="10" t="n">
        <v>21</v>
      </c>
      <c r="J102" s="10" t="s">
        <v>57</v>
      </c>
      <c r="K102" s="12" t="n">
        <v>45923</v>
      </c>
      <c r="L102" s="13" t="n">
        <f aca="false">IF(K102="","",K102-Resumo!$B$3)</f>
        <v>-395</v>
      </c>
      <c r="M102" s="10" t="s">
        <v>253</v>
      </c>
      <c r="N102" s="10" t="s">
        <v>95</v>
      </c>
      <c r="O102" s="14"/>
      <c r="P102" s="14" t="s">
        <v>23</v>
      </c>
      <c r="Q102" s="15"/>
      <c r="R102" s="14"/>
    </row>
    <row r="103" customFormat="false" ht="32.8" hidden="false" customHeight="false" outlineLevel="0" collapsed="false">
      <c r="A103" s="10" t="n">
        <v>102</v>
      </c>
      <c r="B103" s="11" t="s">
        <v>56</v>
      </c>
      <c r="C103" s="10" t="s">
        <v>249</v>
      </c>
      <c r="D103" s="10" t="s">
        <v>250</v>
      </c>
      <c r="E103" s="10" t="s">
        <v>251</v>
      </c>
      <c r="F103" s="10" t="s">
        <v>252</v>
      </c>
      <c r="G103" s="12" t="n">
        <v>46043</v>
      </c>
      <c r="H103" s="10" t="s">
        <v>15</v>
      </c>
      <c r="I103" s="10" t="n">
        <v>5</v>
      </c>
      <c r="J103" s="10" t="s">
        <v>57</v>
      </c>
      <c r="K103" s="12" t="n">
        <v>46113</v>
      </c>
      <c r="L103" s="13" t="n">
        <f aca="false">IF(K103="","",K103-Resumo!$B$3)</f>
        <v>-205</v>
      </c>
      <c r="M103" s="10" t="s">
        <v>254</v>
      </c>
      <c r="N103" s="10" t="s">
        <v>55</v>
      </c>
      <c r="O103" s="14"/>
      <c r="P103" s="14" t="s">
        <v>23</v>
      </c>
      <c r="Q103" s="15"/>
      <c r="R103" s="14"/>
    </row>
    <row r="104" customFormat="false" ht="22.35" hidden="false" customHeight="false" outlineLevel="0" collapsed="false">
      <c r="A104" s="10" t="n">
        <v>103</v>
      </c>
      <c r="B104" s="11" t="s">
        <v>56</v>
      </c>
      <c r="C104" s="10" t="s">
        <v>249</v>
      </c>
      <c r="D104" s="10" t="s">
        <v>250</v>
      </c>
      <c r="E104" s="10" t="s">
        <v>251</v>
      </c>
      <c r="F104" s="10" t="s">
        <v>252</v>
      </c>
      <c r="G104" s="12" t="n">
        <v>46043</v>
      </c>
      <c r="H104" s="10" t="s">
        <v>16</v>
      </c>
      <c r="I104" s="10" t="n">
        <v>17</v>
      </c>
      <c r="J104" s="10" t="s">
        <v>57</v>
      </c>
      <c r="K104" s="12" t="n">
        <v>45351</v>
      </c>
      <c r="L104" s="13" t="n">
        <f aca="false">IF(K104="","",K104-Resumo!$B$3)</f>
        <v>-967</v>
      </c>
      <c r="M104" s="10" t="s">
        <v>255</v>
      </c>
      <c r="N104" s="10" t="s">
        <v>59</v>
      </c>
      <c r="O104" s="14"/>
      <c r="P104" s="14" t="s">
        <v>23</v>
      </c>
      <c r="Q104" s="15"/>
      <c r="R104" s="14"/>
    </row>
    <row r="105" customFormat="false" ht="22.35" hidden="false" customHeight="false" outlineLevel="0" collapsed="false">
      <c r="A105" s="10" t="n">
        <v>104</v>
      </c>
      <c r="B105" s="11" t="s">
        <v>56</v>
      </c>
      <c r="C105" s="10" t="s">
        <v>256</v>
      </c>
      <c r="D105" s="10" t="s">
        <v>192</v>
      </c>
      <c r="E105" s="10" t="s">
        <v>257</v>
      </c>
      <c r="F105" s="10" t="s">
        <v>258</v>
      </c>
      <c r="G105" s="12" t="n">
        <v>46408</v>
      </c>
      <c r="H105" s="10" t="s">
        <v>9</v>
      </c>
      <c r="I105" s="10" t="n">
        <v>19</v>
      </c>
      <c r="J105" s="10" t="s">
        <v>57</v>
      </c>
      <c r="K105" s="12" t="n">
        <v>46288</v>
      </c>
      <c r="L105" s="13" t="n">
        <f aca="false">IF(K105="","",K105-Resumo!$B$3)</f>
        <v>-30</v>
      </c>
      <c r="M105" s="10" t="s">
        <v>259</v>
      </c>
      <c r="N105" s="10" t="s">
        <v>95</v>
      </c>
      <c r="O105" s="14"/>
      <c r="P105" s="14" t="s">
        <v>23</v>
      </c>
      <c r="Q105" s="15"/>
      <c r="R105" s="14"/>
    </row>
    <row r="106" customFormat="false" ht="32.8" hidden="false" customHeight="false" outlineLevel="0" collapsed="false">
      <c r="A106" s="10" t="n">
        <v>105</v>
      </c>
      <c r="B106" s="11" t="s">
        <v>56</v>
      </c>
      <c r="C106" s="10" t="s">
        <v>256</v>
      </c>
      <c r="D106" s="10" t="s">
        <v>192</v>
      </c>
      <c r="E106" s="10" t="s">
        <v>257</v>
      </c>
      <c r="F106" s="10" t="s">
        <v>258</v>
      </c>
      <c r="G106" s="12" t="n">
        <v>46408</v>
      </c>
      <c r="H106" s="10" t="s">
        <v>15</v>
      </c>
      <c r="I106" s="10" t="n">
        <v>5</v>
      </c>
      <c r="J106" s="10" t="s">
        <v>57</v>
      </c>
      <c r="K106" s="12" t="n">
        <v>46113</v>
      </c>
      <c r="L106" s="13" t="n">
        <f aca="false">IF(K106="","",K106-Resumo!$B$3)</f>
        <v>-205</v>
      </c>
      <c r="M106" s="10" t="s">
        <v>254</v>
      </c>
      <c r="N106" s="10" t="s">
        <v>55</v>
      </c>
      <c r="O106" s="14"/>
      <c r="P106" s="14" t="s">
        <v>23</v>
      </c>
      <c r="Q106" s="15"/>
      <c r="R106" s="14"/>
    </row>
    <row r="107" customFormat="false" ht="22.35" hidden="false" customHeight="false" outlineLevel="0" collapsed="false">
      <c r="A107" s="10" t="n">
        <v>106</v>
      </c>
      <c r="B107" s="11" t="s">
        <v>56</v>
      </c>
      <c r="C107" s="10" t="s">
        <v>256</v>
      </c>
      <c r="D107" s="10" t="s">
        <v>192</v>
      </c>
      <c r="E107" s="10" t="s">
        <v>257</v>
      </c>
      <c r="F107" s="10" t="s">
        <v>258</v>
      </c>
      <c r="G107" s="12" t="n">
        <v>46408</v>
      </c>
      <c r="H107" s="10" t="s">
        <v>16</v>
      </c>
      <c r="I107" s="10" t="n">
        <v>15</v>
      </c>
      <c r="J107" s="10" t="s">
        <v>57</v>
      </c>
      <c r="K107" s="12" t="n">
        <v>46282</v>
      </c>
      <c r="L107" s="13" t="n">
        <f aca="false">IF(K107="","",K107-Resumo!$B$3)</f>
        <v>-36</v>
      </c>
      <c r="M107" s="10" t="s">
        <v>85</v>
      </c>
      <c r="N107" s="10" t="s">
        <v>59</v>
      </c>
      <c r="O107" s="14"/>
      <c r="P107" s="14" t="s">
        <v>23</v>
      </c>
      <c r="Q107" s="15"/>
      <c r="R107" s="14"/>
    </row>
    <row r="108" customFormat="false" ht="22.35" hidden="false" customHeight="false" outlineLevel="0" collapsed="false">
      <c r="A108" s="10" t="n">
        <v>107</v>
      </c>
      <c r="B108" s="11" t="s">
        <v>46</v>
      </c>
      <c r="C108" s="10" t="s">
        <v>260</v>
      </c>
      <c r="D108" s="10" t="s">
        <v>91</v>
      </c>
      <c r="E108" s="10" t="s">
        <v>261</v>
      </c>
      <c r="F108" s="10" t="s">
        <v>262</v>
      </c>
      <c r="G108" s="12" t="n">
        <v>47310</v>
      </c>
      <c r="H108" s="10" t="s">
        <v>14</v>
      </c>
      <c r="I108" s="10" t="n">
        <v>9</v>
      </c>
      <c r="J108" s="10" t="s">
        <v>6</v>
      </c>
      <c r="K108" s="12"/>
      <c r="L108" s="13" t="str">
        <f aca="false">IF(K108="","",K108-Resumo!$B$3)</f>
        <v/>
      </c>
      <c r="M108" s="10" t="s">
        <v>74</v>
      </c>
      <c r="N108" s="10" t="s">
        <v>188</v>
      </c>
      <c r="O108" s="14"/>
      <c r="P108" s="14" t="s">
        <v>23</v>
      </c>
      <c r="Q108" s="15"/>
      <c r="R108" s="14"/>
    </row>
    <row r="109" customFormat="false" ht="32.8" hidden="false" customHeight="false" outlineLevel="0" collapsed="false">
      <c r="A109" s="10" t="n">
        <v>108</v>
      </c>
      <c r="B109" s="11" t="s">
        <v>46</v>
      </c>
      <c r="C109" s="10" t="s">
        <v>260</v>
      </c>
      <c r="D109" s="10" t="s">
        <v>91</v>
      </c>
      <c r="E109" s="10" t="s">
        <v>261</v>
      </c>
      <c r="F109" s="10" t="s">
        <v>262</v>
      </c>
      <c r="G109" s="12" t="n">
        <v>47310</v>
      </c>
      <c r="H109" s="10" t="s">
        <v>15</v>
      </c>
      <c r="I109" s="10" t="n">
        <v>5</v>
      </c>
      <c r="J109" s="10" t="s">
        <v>6</v>
      </c>
      <c r="K109" s="12"/>
      <c r="L109" s="13" t="str">
        <f aca="false">IF(K109="","",K109-Resumo!$B$3)</f>
        <v/>
      </c>
      <c r="M109" s="10" t="s">
        <v>74</v>
      </c>
      <c r="N109" s="10" t="s">
        <v>55</v>
      </c>
      <c r="O109" s="14"/>
      <c r="P109" s="14" t="s">
        <v>23</v>
      </c>
      <c r="Q109" s="15"/>
      <c r="R109" s="14"/>
    </row>
    <row r="110" customFormat="false" ht="22.35" hidden="false" customHeight="false" outlineLevel="0" collapsed="false">
      <c r="A110" s="10" t="n">
        <v>109</v>
      </c>
      <c r="B110" s="11" t="s">
        <v>56</v>
      </c>
      <c r="C110" s="10" t="s">
        <v>260</v>
      </c>
      <c r="D110" s="10" t="s">
        <v>91</v>
      </c>
      <c r="E110" s="10" t="s">
        <v>261</v>
      </c>
      <c r="F110" s="10" t="s">
        <v>262</v>
      </c>
      <c r="G110" s="12" t="n">
        <v>47310</v>
      </c>
      <c r="H110" s="10" t="s">
        <v>16</v>
      </c>
      <c r="I110" s="10" t="n">
        <v>16</v>
      </c>
      <c r="J110" s="10" t="s">
        <v>57</v>
      </c>
      <c r="K110" s="12" t="n">
        <v>46043</v>
      </c>
      <c r="L110" s="13" t="n">
        <f aca="false">IF(K110="","",K110-Resumo!$B$3)</f>
        <v>-275</v>
      </c>
      <c r="M110" s="10" t="s">
        <v>263</v>
      </c>
      <c r="N110" s="10" t="s">
        <v>59</v>
      </c>
      <c r="O110" s="14"/>
      <c r="P110" s="14" t="s">
        <v>23</v>
      </c>
      <c r="Q110" s="15"/>
      <c r="R110" s="14"/>
    </row>
    <row r="111" customFormat="false" ht="32.8" hidden="false" customHeight="false" outlineLevel="0" collapsed="false">
      <c r="A111" s="10" t="n">
        <v>110</v>
      </c>
      <c r="B111" s="11" t="s">
        <v>56</v>
      </c>
      <c r="C111" s="10" t="s">
        <v>264</v>
      </c>
      <c r="D111" s="10" t="s">
        <v>151</v>
      </c>
      <c r="E111" s="10" t="s">
        <v>265</v>
      </c>
      <c r="F111" s="10" t="s">
        <v>266</v>
      </c>
      <c r="G111" s="12" t="n">
        <v>46658</v>
      </c>
      <c r="H111" s="10" t="s">
        <v>15</v>
      </c>
      <c r="I111" s="10" t="n">
        <v>5</v>
      </c>
      <c r="J111" s="10" t="s">
        <v>57</v>
      </c>
      <c r="K111" s="12" t="n">
        <v>46107</v>
      </c>
      <c r="L111" s="13" t="n">
        <f aca="false">IF(K111="","",K111-Resumo!$B$3)</f>
        <v>-211</v>
      </c>
      <c r="M111" s="10" t="s">
        <v>267</v>
      </c>
      <c r="N111" s="10" t="s">
        <v>55</v>
      </c>
      <c r="O111" s="14"/>
      <c r="P111" s="14" t="s">
        <v>23</v>
      </c>
      <c r="Q111" s="15"/>
      <c r="R111" s="14"/>
    </row>
    <row r="112" customFormat="false" ht="22.35" hidden="false" customHeight="false" outlineLevel="0" collapsed="false">
      <c r="A112" s="10" t="n">
        <v>111</v>
      </c>
      <c r="B112" s="11" t="s">
        <v>56</v>
      </c>
      <c r="C112" s="10" t="s">
        <v>264</v>
      </c>
      <c r="D112" s="10" t="s">
        <v>151</v>
      </c>
      <c r="E112" s="10" t="s">
        <v>265</v>
      </c>
      <c r="F112" s="10" t="s">
        <v>266</v>
      </c>
      <c r="G112" s="12" t="n">
        <v>46658</v>
      </c>
      <c r="H112" s="10" t="s">
        <v>16</v>
      </c>
      <c r="I112" s="10" t="n">
        <v>18</v>
      </c>
      <c r="J112" s="10" t="s">
        <v>57</v>
      </c>
      <c r="K112" s="12" t="n">
        <v>46280</v>
      </c>
      <c r="L112" s="13" t="n">
        <f aca="false">IF(K112="","",K112-Resumo!$B$3)</f>
        <v>-38</v>
      </c>
      <c r="M112" s="10" t="s">
        <v>216</v>
      </c>
      <c r="N112" s="10" t="s">
        <v>59</v>
      </c>
      <c r="O112" s="14"/>
      <c r="P112" s="14" t="s">
        <v>23</v>
      </c>
      <c r="Q112" s="15"/>
      <c r="R112" s="14"/>
    </row>
    <row r="113" customFormat="false" ht="22.35" hidden="false" customHeight="false" outlineLevel="0" collapsed="false">
      <c r="A113" s="10" t="n">
        <v>112</v>
      </c>
      <c r="B113" s="11" t="s">
        <v>46</v>
      </c>
      <c r="C113" s="10" t="s">
        <v>264</v>
      </c>
      <c r="D113" s="10" t="s">
        <v>151</v>
      </c>
      <c r="E113" s="10" t="s">
        <v>265</v>
      </c>
      <c r="F113" s="10" t="s">
        <v>266</v>
      </c>
      <c r="G113" s="12" t="n">
        <v>46658</v>
      </c>
      <c r="H113" s="10" t="s">
        <v>20</v>
      </c>
      <c r="I113" s="10" t="n">
        <v>17</v>
      </c>
      <c r="J113" s="10" t="s">
        <v>6</v>
      </c>
      <c r="K113" s="12"/>
      <c r="L113" s="13" t="str">
        <f aca="false">IF(K113="","",K113-Resumo!$B$3)</f>
        <v/>
      </c>
      <c r="M113" s="10" t="s">
        <v>74</v>
      </c>
      <c r="N113" s="10" t="s">
        <v>131</v>
      </c>
      <c r="O113" s="14"/>
      <c r="P113" s="14" t="s">
        <v>23</v>
      </c>
      <c r="Q113" s="15"/>
      <c r="R113" s="14"/>
    </row>
    <row r="114" customFormat="false" ht="32.8" hidden="false" customHeight="false" outlineLevel="0" collapsed="false">
      <c r="A114" s="10" t="n">
        <v>113</v>
      </c>
      <c r="B114" s="11" t="s">
        <v>56</v>
      </c>
      <c r="C114" s="10" t="s">
        <v>268</v>
      </c>
      <c r="D114" s="10" t="s">
        <v>269</v>
      </c>
      <c r="E114" s="10" t="s">
        <v>270</v>
      </c>
      <c r="F114" s="10" t="s">
        <v>271</v>
      </c>
      <c r="G114" s="12" t="n">
        <v>47016</v>
      </c>
      <c r="H114" s="10" t="s">
        <v>15</v>
      </c>
      <c r="I114" s="10" t="n">
        <v>5</v>
      </c>
      <c r="J114" s="10" t="s">
        <v>57</v>
      </c>
      <c r="K114" s="12" t="n">
        <v>46113</v>
      </c>
      <c r="L114" s="13" t="n">
        <f aca="false">IF(K114="","",K114-Resumo!$B$3)</f>
        <v>-205</v>
      </c>
      <c r="M114" s="10" t="s">
        <v>272</v>
      </c>
      <c r="N114" s="10" t="s">
        <v>55</v>
      </c>
      <c r="O114" s="14"/>
      <c r="P114" s="14" t="s">
        <v>23</v>
      </c>
      <c r="Q114" s="15"/>
      <c r="R114" s="14"/>
    </row>
    <row r="115" customFormat="false" ht="22.35" hidden="false" customHeight="false" outlineLevel="0" collapsed="false">
      <c r="A115" s="10" t="n">
        <v>114</v>
      </c>
      <c r="B115" s="11" t="s">
        <v>56</v>
      </c>
      <c r="C115" s="10" t="s">
        <v>268</v>
      </c>
      <c r="D115" s="10" t="s">
        <v>269</v>
      </c>
      <c r="E115" s="10" t="s">
        <v>270</v>
      </c>
      <c r="F115" s="10" t="s">
        <v>271</v>
      </c>
      <c r="G115" s="12" t="n">
        <v>47016</v>
      </c>
      <c r="H115" s="10" t="s">
        <v>16</v>
      </c>
      <c r="I115" s="10" t="n">
        <v>16</v>
      </c>
      <c r="J115" s="10" t="s">
        <v>57</v>
      </c>
      <c r="K115" s="12" t="n">
        <v>45519</v>
      </c>
      <c r="L115" s="13" t="n">
        <f aca="false">IF(K115="","",K115-Resumo!$B$3)</f>
        <v>-799</v>
      </c>
      <c r="M115" s="10" t="s">
        <v>273</v>
      </c>
      <c r="N115" s="10" t="s">
        <v>59</v>
      </c>
      <c r="O115" s="14"/>
      <c r="P115" s="14" t="s">
        <v>23</v>
      </c>
      <c r="Q115" s="15"/>
      <c r="R115" s="14"/>
    </row>
    <row r="116" customFormat="false" ht="22.35" hidden="false" customHeight="false" outlineLevel="0" collapsed="false">
      <c r="A116" s="10" t="n">
        <v>115</v>
      </c>
      <c r="B116" s="11" t="s">
        <v>46</v>
      </c>
      <c r="C116" s="10" t="s">
        <v>268</v>
      </c>
      <c r="D116" s="10" t="s">
        <v>269</v>
      </c>
      <c r="E116" s="10" t="s">
        <v>270</v>
      </c>
      <c r="F116" s="10" t="s">
        <v>271</v>
      </c>
      <c r="G116" s="12" t="n">
        <v>47016</v>
      </c>
      <c r="H116" s="10" t="s">
        <v>17</v>
      </c>
      <c r="I116" s="10" t="n">
        <v>15</v>
      </c>
      <c r="J116" s="10" t="s">
        <v>51</v>
      </c>
      <c r="K116" s="12" t="n">
        <v>46339</v>
      </c>
      <c r="L116" s="13" t="n">
        <f aca="false">IF(K116="","",K116-Resumo!$B$3)</f>
        <v>21</v>
      </c>
      <c r="M116" s="10" t="s">
        <v>274</v>
      </c>
      <c r="N116" s="10" t="s">
        <v>86</v>
      </c>
      <c r="O116" s="14"/>
      <c r="P116" s="14" t="s">
        <v>23</v>
      </c>
      <c r="Q116" s="15"/>
      <c r="R116" s="14"/>
    </row>
    <row r="117" customFormat="false" ht="22.35" hidden="false" customHeight="false" outlineLevel="0" collapsed="false">
      <c r="A117" s="10" t="n">
        <v>116</v>
      </c>
      <c r="B117" s="11" t="s">
        <v>56</v>
      </c>
      <c r="C117" s="10" t="s">
        <v>275</v>
      </c>
      <c r="D117" s="10" t="s">
        <v>276</v>
      </c>
      <c r="E117" s="10" t="s">
        <v>277</v>
      </c>
      <c r="F117" s="10" t="s">
        <v>278</v>
      </c>
      <c r="G117" s="12" t="n">
        <v>46332</v>
      </c>
      <c r="H117" s="10" t="s">
        <v>9</v>
      </c>
      <c r="I117" s="10" t="n">
        <v>19</v>
      </c>
      <c r="J117" s="10" t="s">
        <v>57</v>
      </c>
      <c r="K117" s="12" t="n">
        <v>46212</v>
      </c>
      <c r="L117" s="13" t="n">
        <f aca="false">IF(K117="","",K117-Resumo!$B$3)</f>
        <v>-106</v>
      </c>
      <c r="M117" s="10" t="s">
        <v>279</v>
      </c>
      <c r="N117" s="10" t="s">
        <v>95</v>
      </c>
      <c r="O117" s="14"/>
      <c r="P117" s="14" t="s">
        <v>23</v>
      </c>
      <c r="Q117" s="15"/>
      <c r="R117" s="14"/>
    </row>
    <row r="118" customFormat="false" ht="22.35" hidden="false" customHeight="false" outlineLevel="0" collapsed="false">
      <c r="A118" s="10" t="n">
        <v>117</v>
      </c>
      <c r="B118" s="11" t="s">
        <v>75</v>
      </c>
      <c r="C118" s="10" t="s">
        <v>275</v>
      </c>
      <c r="D118" s="10" t="s">
        <v>276</v>
      </c>
      <c r="E118" s="10" t="s">
        <v>277</v>
      </c>
      <c r="F118" s="10" t="s">
        <v>278</v>
      </c>
      <c r="G118" s="12" t="n">
        <v>46332</v>
      </c>
      <c r="H118" s="10" t="s">
        <v>12</v>
      </c>
      <c r="I118" s="10" t="n">
        <v>18</v>
      </c>
      <c r="J118" s="10" t="s">
        <v>57</v>
      </c>
      <c r="K118" s="12" t="n">
        <v>46248</v>
      </c>
      <c r="L118" s="13" t="n">
        <f aca="false">IF(K118="","",K118-Resumo!$B$3)</f>
        <v>-70</v>
      </c>
      <c r="M118" s="10" t="s">
        <v>80</v>
      </c>
      <c r="N118" s="10" t="s">
        <v>81</v>
      </c>
      <c r="O118" s="14"/>
      <c r="P118" s="14" t="s">
        <v>23</v>
      </c>
      <c r="Q118" s="15"/>
      <c r="R118" s="14"/>
    </row>
    <row r="119" customFormat="false" ht="15" hidden="false" customHeight="false" outlineLevel="0" collapsed="false">
      <c r="A119" s="10" t="n">
        <v>118</v>
      </c>
      <c r="B119" s="11" t="s">
        <v>56</v>
      </c>
      <c r="C119" s="10" t="s">
        <v>275</v>
      </c>
      <c r="D119" s="10" t="s">
        <v>276</v>
      </c>
      <c r="E119" s="10" t="s">
        <v>277</v>
      </c>
      <c r="F119" s="10" t="s">
        <v>278</v>
      </c>
      <c r="G119" s="12" t="n">
        <v>46332</v>
      </c>
      <c r="H119" s="10" t="s">
        <v>13</v>
      </c>
      <c r="I119" s="10" t="n">
        <v>16</v>
      </c>
      <c r="J119" s="10" t="s">
        <v>51</v>
      </c>
      <c r="K119" s="12" t="n">
        <v>46328</v>
      </c>
      <c r="L119" s="13" t="n">
        <f aca="false">IF(K119="","",K119-Resumo!$B$3)</f>
        <v>10</v>
      </c>
      <c r="M119" s="10" t="s">
        <v>82</v>
      </c>
      <c r="N119" s="10" t="s">
        <v>83</v>
      </c>
      <c r="O119" s="14"/>
      <c r="P119" s="14" t="s">
        <v>23</v>
      </c>
      <c r="Q119" s="15"/>
      <c r="R119" s="14"/>
    </row>
    <row r="120" customFormat="false" ht="32.8" hidden="false" customHeight="false" outlineLevel="0" collapsed="false">
      <c r="A120" s="10" t="n">
        <v>119</v>
      </c>
      <c r="B120" s="11" t="s">
        <v>56</v>
      </c>
      <c r="C120" s="10" t="s">
        <v>275</v>
      </c>
      <c r="D120" s="10" t="s">
        <v>276</v>
      </c>
      <c r="E120" s="10" t="s">
        <v>277</v>
      </c>
      <c r="F120" s="10" t="s">
        <v>278</v>
      </c>
      <c r="G120" s="12" t="n">
        <v>46332</v>
      </c>
      <c r="H120" s="10" t="s">
        <v>15</v>
      </c>
      <c r="I120" s="10" t="n">
        <v>5</v>
      </c>
      <c r="J120" s="10" t="s">
        <v>57</v>
      </c>
      <c r="K120" s="12" t="n">
        <v>46259</v>
      </c>
      <c r="L120" s="13" t="n">
        <f aca="false">IF(K120="","",K120-Resumo!$B$3)</f>
        <v>-59</v>
      </c>
      <c r="M120" s="10" t="s">
        <v>280</v>
      </c>
      <c r="N120" s="10" t="s">
        <v>55</v>
      </c>
      <c r="O120" s="14"/>
      <c r="P120" s="14" t="s">
        <v>23</v>
      </c>
      <c r="Q120" s="15"/>
      <c r="R120" s="14"/>
    </row>
    <row r="121" customFormat="false" ht="22.35" hidden="false" customHeight="false" outlineLevel="0" collapsed="false">
      <c r="A121" s="10" t="n">
        <v>120</v>
      </c>
      <c r="B121" s="11" t="s">
        <v>56</v>
      </c>
      <c r="C121" s="10" t="s">
        <v>275</v>
      </c>
      <c r="D121" s="10" t="s">
        <v>276</v>
      </c>
      <c r="E121" s="10" t="s">
        <v>277</v>
      </c>
      <c r="F121" s="10" t="s">
        <v>278</v>
      </c>
      <c r="G121" s="12" t="n">
        <v>46332</v>
      </c>
      <c r="H121" s="10" t="s">
        <v>16</v>
      </c>
      <c r="I121" s="10" t="n">
        <v>14</v>
      </c>
      <c r="J121" s="10" t="s">
        <v>57</v>
      </c>
      <c r="K121" s="12" t="n">
        <v>46280</v>
      </c>
      <c r="L121" s="13" t="n">
        <f aca="false">IF(K121="","",K121-Resumo!$B$3)</f>
        <v>-38</v>
      </c>
      <c r="M121" s="10" t="s">
        <v>216</v>
      </c>
      <c r="N121" s="10" t="s">
        <v>59</v>
      </c>
      <c r="O121" s="14"/>
      <c r="P121" s="14" t="s">
        <v>23</v>
      </c>
      <c r="Q121" s="15"/>
      <c r="R121" s="14"/>
    </row>
    <row r="122" customFormat="false" ht="22.35" hidden="false" customHeight="false" outlineLevel="0" collapsed="false">
      <c r="A122" s="10" t="n">
        <v>121</v>
      </c>
      <c r="B122" s="11" t="s">
        <v>46</v>
      </c>
      <c r="C122" s="10" t="s">
        <v>275</v>
      </c>
      <c r="D122" s="10" t="s">
        <v>276</v>
      </c>
      <c r="E122" s="10" t="s">
        <v>277</v>
      </c>
      <c r="F122" s="10" t="s">
        <v>278</v>
      </c>
      <c r="G122" s="12" t="n">
        <v>46332</v>
      </c>
      <c r="H122" s="10" t="s">
        <v>17</v>
      </c>
      <c r="I122" s="10" t="n">
        <v>13</v>
      </c>
      <c r="J122" s="10" t="s">
        <v>6</v>
      </c>
      <c r="K122" s="12"/>
      <c r="L122" s="13" t="str">
        <f aca="false">IF(K122="","",K122-Resumo!$B$3)</f>
        <v/>
      </c>
      <c r="M122" s="10" t="s">
        <v>74</v>
      </c>
      <c r="N122" s="10" t="s">
        <v>86</v>
      </c>
      <c r="O122" s="14"/>
      <c r="P122" s="14" t="s">
        <v>23</v>
      </c>
      <c r="Q122" s="15"/>
      <c r="R122" s="14"/>
    </row>
    <row r="123" customFormat="false" ht="22.35" hidden="false" customHeight="false" outlineLevel="0" collapsed="false">
      <c r="A123" s="10" t="n">
        <v>122</v>
      </c>
      <c r="B123" s="11" t="s">
        <v>75</v>
      </c>
      <c r="C123" s="10" t="s">
        <v>281</v>
      </c>
      <c r="D123" s="10" t="s">
        <v>282</v>
      </c>
      <c r="E123" s="10" t="s">
        <v>283</v>
      </c>
      <c r="F123" s="10" t="s">
        <v>284</v>
      </c>
      <c r="G123" s="12" t="n">
        <v>48215</v>
      </c>
      <c r="H123" s="10" t="s">
        <v>12</v>
      </c>
      <c r="I123" s="10" t="n">
        <v>20</v>
      </c>
      <c r="J123" s="10" t="s">
        <v>57</v>
      </c>
      <c r="K123" s="12" t="n">
        <v>46034</v>
      </c>
      <c r="L123" s="13" t="n">
        <f aca="false">IF(K123="","",K123-Resumo!$B$3)</f>
        <v>-284</v>
      </c>
      <c r="M123" s="10" t="s">
        <v>80</v>
      </c>
      <c r="N123" s="10" t="s">
        <v>81</v>
      </c>
      <c r="O123" s="14"/>
      <c r="P123" s="14" t="s">
        <v>23</v>
      </c>
      <c r="Q123" s="15"/>
      <c r="R123" s="14"/>
    </row>
    <row r="124" customFormat="false" ht="15" hidden="false" customHeight="false" outlineLevel="0" collapsed="false">
      <c r="A124" s="10" t="n">
        <v>123</v>
      </c>
      <c r="B124" s="11" t="s">
        <v>75</v>
      </c>
      <c r="C124" s="10" t="s">
        <v>281</v>
      </c>
      <c r="D124" s="10" t="s">
        <v>282</v>
      </c>
      <c r="E124" s="10" t="s">
        <v>283</v>
      </c>
      <c r="F124" s="10" t="s">
        <v>284</v>
      </c>
      <c r="G124" s="12" t="n">
        <v>48215</v>
      </c>
      <c r="H124" s="10" t="s">
        <v>13</v>
      </c>
      <c r="I124" s="10" t="n">
        <v>18</v>
      </c>
      <c r="J124" s="10" t="s">
        <v>57</v>
      </c>
      <c r="K124" s="12" t="n">
        <v>46114</v>
      </c>
      <c r="L124" s="13" t="n">
        <f aca="false">IF(K124="","",K124-Resumo!$B$3)</f>
        <v>-204</v>
      </c>
      <c r="M124" s="10" t="s">
        <v>82</v>
      </c>
      <c r="N124" s="10" t="s">
        <v>83</v>
      </c>
      <c r="O124" s="14"/>
      <c r="P124" s="14" t="s">
        <v>23</v>
      </c>
      <c r="Q124" s="15"/>
      <c r="R124" s="14"/>
    </row>
    <row r="125" customFormat="false" ht="32.8" hidden="false" customHeight="false" outlineLevel="0" collapsed="false">
      <c r="A125" s="10" t="n">
        <v>124</v>
      </c>
      <c r="B125" s="11" t="s">
        <v>56</v>
      </c>
      <c r="C125" s="10" t="s">
        <v>281</v>
      </c>
      <c r="D125" s="10" t="s">
        <v>282</v>
      </c>
      <c r="E125" s="10" t="s">
        <v>283</v>
      </c>
      <c r="F125" s="10" t="s">
        <v>284</v>
      </c>
      <c r="G125" s="12" t="n">
        <v>48215</v>
      </c>
      <c r="H125" s="10" t="s">
        <v>15</v>
      </c>
      <c r="I125" s="10" t="n">
        <v>5</v>
      </c>
      <c r="J125" s="10" t="s">
        <v>57</v>
      </c>
      <c r="K125" s="12" t="n">
        <v>46276</v>
      </c>
      <c r="L125" s="13" t="n">
        <f aca="false">IF(K125="","",K125-Resumo!$B$3)</f>
        <v>-42</v>
      </c>
      <c r="M125" s="10" t="s">
        <v>285</v>
      </c>
      <c r="N125" s="10" t="s">
        <v>55</v>
      </c>
      <c r="O125" s="14"/>
      <c r="P125" s="14" t="s">
        <v>23</v>
      </c>
      <c r="Q125" s="15"/>
      <c r="R125" s="14"/>
    </row>
    <row r="126" customFormat="false" ht="22.35" hidden="false" customHeight="false" outlineLevel="0" collapsed="false">
      <c r="A126" s="10" t="n">
        <v>125</v>
      </c>
      <c r="B126" s="11" t="s">
        <v>46</v>
      </c>
      <c r="C126" s="10" t="s">
        <v>281</v>
      </c>
      <c r="D126" s="10" t="s">
        <v>282</v>
      </c>
      <c r="E126" s="10" t="s">
        <v>283</v>
      </c>
      <c r="F126" s="10" t="s">
        <v>284</v>
      </c>
      <c r="G126" s="12" t="n">
        <v>48215</v>
      </c>
      <c r="H126" s="10" t="s">
        <v>16</v>
      </c>
      <c r="I126" s="10" t="n">
        <v>15</v>
      </c>
      <c r="J126" s="10" t="s">
        <v>6</v>
      </c>
      <c r="K126" s="12"/>
      <c r="L126" s="13" t="str">
        <f aca="false">IF(K126="","",K126-Resumo!$B$3)</f>
        <v/>
      </c>
      <c r="M126" s="10" t="s">
        <v>74</v>
      </c>
      <c r="N126" s="10" t="s">
        <v>59</v>
      </c>
      <c r="O126" s="14"/>
      <c r="P126" s="14" t="s">
        <v>23</v>
      </c>
      <c r="Q126" s="15"/>
      <c r="R126" s="14"/>
    </row>
    <row r="127" customFormat="false" ht="22.35" hidden="false" customHeight="false" outlineLevel="0" collapsed="false">
      <c r="A127" s="10" t="n">
        <v>126</v>
      </c>
      <c r="B127" s="11" t="s">
        <v>46</v>
      </c>
      <c r="C127" s="10" t="s">
        <v>281</v>
      </c>
      <c r="D127" s="10" t="s">
        <v>282</v>
      </c>
      <c r="E127" s="10" t="s">
        <v>283</v>
      </c>
      <c r="F127" s="10" t="s">
        <v>284</v>
      </c>
      <c r="G127" s="12" t="n">
        <v>48215</v>
      </c>
      <c r="H127" s="10" t="s">
        <v>17</v>
      </c>
      <c r="I127" s="10" t="n">
        <v>14</v>
      </c>
      <c r="J127" s="10" t="s">
        <v>6</v>
      </c>
      <c r="K127" s="12"/>
      <c r="L127" s="13" t="str">
        <f aca="false">IF(K127="","",K127-Resumo!$B$3)</f>
        <v/>
      </c>
      <c r="M127" s="10" t="s">
        <v>74</v>
      </c>
      <c r="N127" s="10" t="s">
        <v>86</v>
      </c>
      <c r="O127" s="14"/>
      <c r="P127" s="14" t="s">
        <v>23</v>
      </c>
      <c r="Q127" s="15"/>
      <c r="R127" s="14"/>
    </row>
    <row r="128" customFormat="false" ht="22.35" hidden="false" customHeight="false" outlineLevel="0" collapsed="false">
      <c r="A128" s="10" t="n">
        <v>127</v>
      </c>
      <c r="B128" s="11" t="s">
        <v>46</v>
      </c>
      <c r="C128" s="10" t="s">
        <v>281</v>
      </c>
      <c r="D128" s="10" t="s">
        <v>282</v>
      </c>
      <c r="E128" s="10" t="s">
        <v>283</v>
      </c>
      <c r="F128" s="10" t="s">
        <v>284</v>
      </c>
      <c r="G128" s="12" t="n">
        <v>48215</v>
      </c>
      <c r="H128" s="10" t="s">
        <v>18</v>
      </c>
      <c r="I128" s="10" t="n">
        <v>14</v>
      </c>
      <c r="J128" s="10" t="s">
        <v>6</v>
      </c>
      <c r="K128" s="12"/>
      <c r="L128" s="13" t="str">
        <f aca="false">IF(K128="","",K128-Resumo!$B$3)</f>
        <v/>
      </c>
      <c r="M128" s="10" t="s">
        <v>74</v>
      </c>
      <c r="N128" s="10" t="s">
        <v>88</v>
      </c>
      <c r="O128" s="14"/>
      <c r="P128" s="14" t="s">
        <v>23</v>
      </c>
      <c r="Q128" s="15"/>
      <c r="R128" s="14"/>
    </row>
    <row r="129" customFormat="false" ht="22.35" hidden="false" customHeight="false" outlineLevel="0" collapsed="false">
      <c r="A129" s="10" t="n">
        <v>128</v>
      </c>
      <c r="B129" s="11" t="s">
        <v>46</v>
      </c>
      <c r="C129" s="10" t="s">
        <v>281</v>
      </c>
      <c r="D129" s="10" t="s">
        <v>282</v>
      </c>
      <c r="E129" s="10" t="s">
        <v>283</v>
      </c>
      <c r="F129" s="10" t="s">
        <v>284</v>
      </c>
      <c r="G129" s="12" t="n">
        <v>48215</v>
      </c>
      <c r="H129" s="10" t="s">
        <v>19</v>
      </c>
      <c r="I129" s="10" t="n">
        <v>8</v>
      </c>
      <c r="J129" s="10" t="s">
        <v>6</v>
      </c>
      <c r="K129" s="12"/>
      <c r="L129" s="13" t="str">
        <f aca="false">IF(K129="","",K129-Resumo!$B$3)</f>
        <v/>
      </c>
      <c r="M129" s="10" t="s">
        <v>74</v>
      </c>
      <c r="N129" s="10" t="s">
        <v>89</v>
      </c>
      <c r="O129" s="14"/>
      <c r="P129" s="14" t="s">
        <v>23</v>
      </c>
      <c r="Q129" s="15"/>
      <c r="R129" s="14"/>
    </row>
    <row r="130" customFormat="false" ht="22.35" hidden="false" customHeight="false" outlineLevel="0" collapsed="false">
      <c r="A130" s="10" t="n">
        <v>129</v>
      </c>
      <c r="B130" s="11" t="s">
        <v>46</v>
      </c>
      <c r="C130" s="10" t="s">
        <v>286</v>
      </c>
      <c r="D130" s="10" t="s">
        <v>182</v>
      </c>
      <c r="E130" s="10" t="s">
        <v>287</v>
      </c>
      <c r="F130" s="10" t="s">
        <v>288</v>
      </c>
      <c r="G130" s="12" t="n">
        <v>47697</v>
      </c>
      <c r="H130" s="10" t="s">
        <v>10</v>
      </c>
      <c r="I130" s="10"/>
      <c r="J130" s="10" t="s">
        <v>51</v>
      </c>
      <c r="K130" s="12" t="n">
        <v>46344</v>
      </c>
      <c r="L130" s="13" t="n">
        <f aca="false">IF(K130="","",K130-Resumo!$B$3)</f>
        <v>26</v>
      </c>
      <c r="M130" s="10" t="s">
        <v>52</v>
      </c>
      <c r="N130" s="10" t="s">
        <v>53</v>
      </c>
      <c r="O130" s="14"/>
      <c r="P130" s="14" t="s">
        <v>23</v>
      </c>
      <c r="Q130" s="15"/>
      <c r="R130" s="14"/>
    </row>
    <row r="131" customFormat="false" ht="32.8" hidden="false" customHeight="false" outlineLevel="0" collapsed="false">
      <c r="A131" s="10" t="n">
        <v>130</v>
      </c>
      <c r="B131" s="11" t="s">
        <v>56</v>
      </c>
      <c r="C131" s="10" t="s">
        <v>286</v>
      </c>
      <c r="D131" s="10" t="s">
        <v>182</v>
      </c>
      <c r="E131" s="10" t="s">
        <v>287</v>
      </c>
      <c r="F131" s="10" t="s">
        <v>288</v>
      </c>
      <c r="G131" s="12" t="n">
        <v>47697</v>
      </c>
      <c r="H131" s="10" t="s">
        <v>15</v>
      </c>
      <c r="I131" s="10" t="n">
        <v>5</v>
      </c>
      <c r="J131" s="10" t="s">
        <v>57</v>
      </c>
      <c r="K131" s="12" t="n">
        <v>46127</v>
      </c>
      <c r="L131" s="13" t="n">
        <f aca="false">IF(K131="","",K131-Resumo!$B$3)</f>
        <v>-191</v>
      </c>
      <c r="M131" s="10" t="s">
        <v>248</v>
      </c>
      <c r="N131" s="10" t="s">
        <v>55</v>
      </c>
      <c r="O131" s="14"/>
      <c r="P131" s="14" t="s">
        <v>23</v>
      </c>
      <c r="Q131" s="15"/>
      <c r="R131" s="14"/>
    </row>
    <row r="132" customFormat="false" ht="22.35" hidden="false" customHeight="false" outlineLevel="0" collapsed="false">
      <c r="A132" s="10" t="n">
        <v>131</v>
      </c>
      <c r="B132" s="11" t="s">
        <v>56</v>
      </c>
      <c r="C132" s="10" t="s">
        <v>286</v>
      </c>
      <c r="D132" s="10" t="s">
        <v>182</v>
      </c>
      <c r="E132" s="10" t="s">
        <v>287</v>
      </c>
      <c r="F132" s="10" t="s">
        <v>288</v>
      </c>
      <c r="G132" s="12" t="n">
        <v>47697</v>
      </c>
      <c r="H132" s="10" t="s">
        <v>16</v>
      </c>
      <c r="I132" s="10" t="n">
        <v>17</v>
      </c>
      <c r="J132" s="10" t="s">
        <v>57</v>
      </c>
      <c r="K132" s="12" t="n">
        <v>46282</v>
      </c>
      <c r="L132" s="13" t="n">
        <f aca="false">IF(K132="","",K132-Resumo!$B$3)</f>
        <v>-36</v>
      </c>
      <c r="M132" s="10" t="s">
        <v>85</v>
      </c>
      <c r="N132" s="10" t="s">
        <v>59</v>
      </c>
      <c r="O132" s="14"/>
      <c r="P132" s="14" t="s">
        <v>23</v>
      </c>
      <c r="Q132" s="15"/>
      <c r="R132" s="14"/>
    </row>
    <row r="133" customFormat="false" ht="22.35" hidden="false" customHeight="false" outlineLevel="0" collapsed="false">
      <c r="A133" s="10" t="n">
        <v>132</v>
      </c>
      <c r="B133" s="11" t="s">
        <v>56</v>
      </c>
      <c r="C133" s="10" t="s">
        <v>289</v>
      </c>
      <c r="D133" s="10" t="s">
        <v>290</v>
      </c>
      <c r="E133" s="10" t="s">
        <v>291</v>
      </c>
      <c r="F133" s="10" t="s">
        <v>292</v>
      </c>
      <c r="G133" s="12" t="n">
        <v>46244</v>
      </c>
      <c r="H133" s="10" t="s">
        <v>9</v>
      </c>
      <c r="I133" s="10" t="n">
        <v>21</v>
      </c>
      <c r="J133" s="10" t="s">
        <v>57</v>
      </c>
      <c r="K133" s="12" t="n">
        <v>46124</v>
      </c>
      <c r="L133" s="13" t="n">
        <f aca="false">IF(K133="","",K133-Resumo!$B$3)</f>
        <v>-194</v>
      </c>
      <c r="M133" s="10" t="s">
        <v>293</v>
      </c>
      <c r="N133" s="10" t="s">
        <v>95</v>
      </c>
      <c r="O133" s="14"/>
      <c r="P133" s="14" t="s">
        <v>23</v>
      </c>
      <c r="Q133" s="15"/>
      <c r="R133" s="14"/>
    </row>
    <row r="134" customFormat="false" ht="32.8" hidden="false" customHeight="false" outlineLevel="0" collapsed="false">
      <c r="A134" s="10" t="n">
        <v>133</v>
      </c>
      <c r="B134" s="11" t="s">
        <v>56</v>
      </c>
      <c r="C134" s="10" t="s">
        <v>289</v>
      </c>
      <c r="D134" s="10" t="s">
        <v>290</v>
      </c>
      <c r="E134" s="10" t="s">
        <v>291</v>
      </c>
      <c r="F134" s="10" t="s">
        <v>292</v>
      </c>
      <c r="G134" s="12" t="n">
        <v>46244</v>
      </c>
      <c r="H134" s="10" t="s">
        <v>15</v>
      </c>
      <c r="I134" s="10" t="n">
        <v>5</v>
      </c>
      <c r="J134" s="10" t="s">
        <v>57</v>
      </c>
      <c r="K134" s="12" t="n">
        <v>46276</v>
      </c>
      <c r="L134" s="13" t="n">
        <f aca="false">IF(K134="","",K134-Resumo!$B$3)</f>
        <v>-42</v>
      </c>
      <c r="M134" s="10" t="s">
        <v>285</v>
      </c>
      <c r="N134" s="10" t="s">
        <v>55</v>
      </c>
      <c r="O134" s="14"/>
      <c r="P134" s="14" t="s">
        <v>23</v>
      </c>
      <c r="Q134" s="15"/>
      <c r="R134" s="14"/>
    </row>
    <row r="135" customFormat="false" ht="22.35" hidden="false" customHeight="false" outlineLevel="0" collapsed="false">
      <c r="A135" s="10" t="n">
        <v>134</v>
      </c>
      <c r="B135" s="11" t="s">
        <v>46</v>
      </c>
      <c r="C135" s="10" t="s">
        <v>289</v>
      </c>
      <c r="D135" s="10" t="s">
        <v>290</v>
      </c>
      <c r="E135" s="10" t="s">
        <v>291</v>
      </c>
      <c r="F135" s="10" t="s">
        <v>292</v>
      </c>
      <c r="G135" s="12" t="n">
        <v>46244</v>
      </c>
      <c r="H135" s="10" t="s">
        <v>16</v>
      </c>
      <c r="I135" s="10" t="n">
        <v>15</v>
      </c>
      <c r="J135" s="10" t="s">
        <v>6</v>
      </c>
      <c r="K135" s="12"/>
      <c r="L135" s="13" t="str">
        <f aca="false">IF(K135="","",K135-Resumo!$B$3)</f>
        <v/>
      </c>
      <c r="M135" s="10" t="s">
        <v>74</v>
      </c>
      <c r="N135" s="10" t="s">
        <v>59</v>
      </c>
      <c r="O135" s="14"/>
      <c r="P135" s="14" t="s">
        <v>23</v>
      </c>
      <c r="Q135" s="15"/>
      <c r="R135" s="14"/>
    </row>
  </sheetData>
  <autoFilter ref="A1:R135"/>
  <conditionalFormatting sqref="J2:J135">
    <cfRule type="expression" priority="2" aboveAverage="0" equalAverage="0" bottom="0" percent="0" rank="0" text="" dxfId="11">
      <formula>$J2="Vencida"</formula>
    </cfRule>
    <cfRule type="expression" priority="3" aboveAverage="0" equalAverage="0" bottom="0" percent="0" rank="0" text="" dxfId="12">
      <formula>$J2="Vence em breve"</formula>
    </cfRule>
    <cfRule type="expression" priority="4" aboveAverage="0" equalAverage="0" bottom="0" percent="0" rank="0" text="" dxfId="13">
      <formula>$J2="Sem data"</formula>
    </cfRule>
  </conditionalFormatting>
  <conditionalFormatting sqref="B2:B135">
    <cfRule type="expression" priority="5" aboveAverage="0" equalAverage="0" bottom="0" percent="0" rank="0" text="" dxfId="14">
      <formula>$B2="Alta"</formula>
    </cfRule>
  </conditionalFormatting>
  <conditionalFormatting sqref="P2:P135">
    <cfRule type="expression" priority="6" aboveAverage="0" equalAverage="0" bottom="0" percent="0" rank="0" text="" dxfId="15">
      <formula>$P2="Resolvido"</formula>
    </cfRule>
    <cfRule type="expression" priority="7" aboveAverage="0" equalAverage="0" bottom="0" percent="0" rank="0" text="" dxfId="15">
      <formula>$P2="Já estava em dia"</formula>
    </cfRule>
  </conditionalFormatting>
  <dataValidations count="1">
    <dataValidation allowBlank="true" errorStyle="stop" operator="between" showDropDown="false" showErrorMessage="false" showInputMessage="false" sqref="P2:P135" type="list">
      <formula1>"A fazer,Em andamento,Aguardando cliente,Resolvido,Já estava em dia"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6" min="2" style="0" width="15"/>
  </cols>
  <sheetData>
    <row r="1" customFormat="false" ht="15" hidden="false" customHeight="false" outlineLevel="0" collapsed="false">
      <c r="A1" s="5" t="s">
        <v>31</v>
      </c>
      <c r="B1" s="5" t="s">
        <v>5</v>
      </c>
      <c r="C1" s="5" t="s">
        <v>6</v>
      </c>
      <c r="D1" s="5" t="s">
        <v>7</v>
      </c>
      <c r="E1" s="5" t="s">
        <v>8</v>
      </c>
      <c r="F1" s="5" t="s">
        <v>294</v>
      </c>
    </row>
    <row r="2" customFormat="false" ht="15" hidden="false" customHeight="false" outlineLevel="0" collapsed="false">
      <c r="A2" s="6" t="s">
        <v>47</v>
      </c>
      <c r="B2" s="6" t="n">
        <f aca="false">COUNTIFS(Pendências!$C$2:$C$135,$A2,Pendências!$J$2:$J$135,"Vencida")</f>
        <v>1</v>
      </c>
      <c r="C2" s="6" t="n">
        <f aca="false">COUNTIFS(Pendências!$C$2:$C$135,$A2,Pendências!$J$2:$J$135,"Sem data")</f>
        <v>0</v>
      </c>
      <c r="D2" s="6" t="n">
        <f aca="false">COUNTIFS(Pendências!$C$2:$C$135,$A2,Pendências!$J$2:$J$135,"Vence em breve")</f>
        <v>2</v>
      </c>
      <c r="E2" s="7" t="n">
        <f aca="false">SUM(B2:D2)</f>
        <v>3</v>
      </c>
      <c r="F2" s="6" t="n">
        <f aca="false">COUNTIFS(Pendências!$C$2:$C$135,$A2,Pendências!$B$2:$B$135,"Alta")</f>
        <v>1</v>
      </c>
    </row>
    <row r="3" customFormat="false" ht="15" hidden="false" customHeight="false" outlineLevel="0" collapsed="false">
      <c r="A3" s="6" t="s">
        <v>60</v>
      </c>
      <c r="B3" s="6" t="n">
        <f aca="false">COUNTIFS(Pendências!$C$2:$C$135,$A3,Pendências!$J$2:$J$135,"Vencida")</f>
        <v>2</v>
      </c>
      <c r="C3" s="6" t="n">
        <f aca="false">COUNTIFS(Pendências!$C$2:$C$135,$A3,Pendências!$J$2:$J$135,"Sem data")</f>
        <v>0</v>
      </c>
      <c r="D3" s="6" t="n">
        <f aca="false">COUNTIFS(Pendências!$C$2:$C$135,$A3,Pendências!$J$2:$J$135,"Vence em breve")</f>
        <v>0</v>
      </c>
      <c r="E3" s="7" t="n">
        <f aca="false">SUM(B3:D3)</f>
        <v>2</v>
      </c>
      <c r="F3" s="6" t="n">
        <f aca="false">COUNTIFS(Pendências!$C$2:$C$135,$A3,Pendências!$B$2:$B$135,"Alta")</f>
        <v>2</v>
      </c>
    </row>
    <row r="4" customFormat="false" ht="15" hidden="false" customHeight="false" outlineLevel="0" collapsed="false">
      <c r="A4" s="6" t="s">
        <v>65</v>
      </c>
      <c r="B4" s="6" t="n">
        <f aca="false">COUNTIFS(Pendências!$C$2:$C$135,$A4,Pendências!$J$2:$J$135,"Vencida")</f>
        <v>2</v>
      </c>
      <c r="C4" s="6" t="n">
        <f aca="false">COUNTIFS(Pendências!$C$2:$C$135,$A4,Pendências!$J$2:$J$135,"Sem data")</f>
        <v>0</v>
      </c>
      <c r="D4" s="6" t="n">
        <f aca="false">COUNTIFS(Pendências!$C$2:$C$135,$A4,Pendências!$J$2:$J$135,"Vence em breve")</f>
        <v>0</v>
      </c>
      <c r="E4" s="7" t="n">
        <f aca="false">SUM(B4:D4)</f>
        <v>2</v>
      </c>
      <c r="F4" s="6" t="n">
        <f aca="false">COUNTIFS(Pendências!$C$2:$C$135,$A4,Pendências!$B$2:$B$135,"Alta")</f>
        <v>2</v>
      </c>
    </row>
    <row r="5" customFormat="false" ht="15" hidden="false" customHeight="false" outlineLevel="0" collapsed="false">
      <c r="A5" s="6" t="s">
        <v>70</v>
      </c>
      <c r="B5" s="6" t="n">
        <f aca="false">COUNTIFS(Pendências!$C$2:$C$135,$A5,Pendências!$J$2:$J$135,"Vencida")</f>
        <v>0</v>
      </c>
      <c r="C5" s="6" t="n">
        <f aca="false">COUNTIFS(Pendências!$C$2:$C$135,$A5,Pendências!$J$2:$J$135,"Sem data")</f>
        <v>1</v>
      </c>
      <c r="D5" s="6" t="n">
        <f aca="false">COUNTIFS(Pendências!$C$2:$C$135,$A5,Pendências!$J$2:$J$135,"Vence em breve")</f>
        <v>0</v>
      </c>
      <c r="E5" s="7" t="n">
        <f aca="false">SUM(B5:D5)</f>
        <v>1</v>
      </c>
      <c r="F5" s="6" t="n">
        <f aca="false">COUNTIFS(Pendências!$C$2:$C$135,$A5,Pendências!$B$2:$B$135,"Alta")</f>
        <v>0</v>
      </c>
    </row>
    <row r="6" customFormat="false" ht="15" hidden="false" customHeight="false" outlineLevel="0" collapsed="false">
      <c r="A6" s="6" t="s">
        <v>76</v>
      </c>
      <c r="B6" s="6" t="n">
        <f aca="false">COUNTIFS(Pendências!$C$2:$C$135,$A6,Pendências!$J$2:$J$135,"Vencida")</f>
        <v>5</v>
      </c>
      <c r="C6" s="6" t="n">
        <f aca="false">COUNTIFS(Pendências!$C$2:$C$135,$A6,Pendências!$J$2:$J$135,"Sem data")</f>
        <v>2</v>
      </c>
      <c r="D6" s="6" t="n">
        <f aca="false">COUNTIFS(Pendências!$C$2:$C$135,$A6,Pendências!$J$2:$J$135,"Vence em breve")</f>
        <v>0</v>
      </c>
      <c r="E6" s="7" t="n">
        <f aca="false">SUM(B6:D6)</f>
        <v>7</v>
      </c>
      <c r="F6" s="6" t="n">
        <f aca="false">COUNTIFS(Pendências!$C$2:$C$135,$A6,Pendências!$B$2:$B$135,"Alta")</f>
        <v>2</v>
      </c>
    </row>
    <row r="7" customFormat="false" ht="15" hidden="false" customHeight="false" outlineLevel="0" collapsed="false">
      <c r="A7" s="6" t="s">
        <v>90</v>
      </c>
      <c r="B7" s="6" t="n">
        <f aca="false">COUNTIFS(Pendências!$C$2:$C$135,$A7,Pendências!$J$2:$J$135,"Vencida")</f>
        <v>2</v>
      </c>
      <c r="C7" s="6" t="n">
        <f aca="false">COUNTIFS(Pendências!$C$2:$C$135,$A7,Pendências!$J$2:$J$135,"Sem data")</f>
        <v>2</v>
      </c>
      <c r="D7" s="6" t="n">
        <f aca="false">COUNTIFS(Pendências!$C$2:$C$135,$A7,Pendências!$J$2:$J$135,"Vence em breve")</f>
        <v>0</v>
      </c>
      <c r="E7" s="7" t="n">
        <f aca="false">SUM(B7:D7)</f>
        <v>4</v>
      </c>
      <c r="F7" s="6" t="n">
        <f aca="false">COUNTIFS(Pendências!$C$2:$C$135,$A7,Pendências!$B$2:$B$135,"Alta")</f>
        <v>1</v>
      </c>
    </row>
    <row r="8" customFormat="false" ht="15" hidden="false" customHeight="false" outlineLevel="0" collapsed="false">
      <c r="A8" s="6" t="s">
        <v>97</v>
      </c>
      <c r="B8" s="6" t="n">
        <f aca="false">COUNTIFS(Pendências!$C$2:$C$135,$A8,Pendências!$J$2:$J$135,"Vencida")</f>
        <v>0</v>
      </c>
      <c r="C8" s="6" t="n">
        <f aca="false">COUNTIFS(Pendências!$C$2:$C$135,$A8,Pendências!$J$2:$J$135,"Sem data")</f>
        <v>1</v>
      </c>
      <c r="D8" s="6" t="n">
        <f aca="false">COUNTIFS(Pendências!$C$2:$C$135,$A8,Pendências!$J$2:$J$135,"Vence em breve")</f>
        <v>0</v>
      </c>
      <c r="E8" s="7" t="n">
        <f aca="false">SUM(B8:D8)</f>
        <v>1</v>
      </c>
      <c r="F8" s="6" t="n">
        <f aca="false">COUNTIFS(Pendências!$C$2:$C$135,$A8,Pendências!$B$2:$B$135,"Alta")</f>
        <v>0</v>
      </c>
    </row>
    <row r="9" customFormat="false" ht="15" hidden="false" customHeight="false" outlineLevel="0" collapsed="false">
      <c r="A9" s="6" t="s">
        <v>101</v>
      </c>
      <c r="B9" s="6" t="n">
        <f aca="false">COUNTIFS(Pendências!$C$2:$C$135,$A9,Pendências!$J$2:$J$135,"Vencida")</f>
        <v>1</v>
      </c>
      <c r="C9" s="6" t="n">
        <f aca="false">COUNTIFS(Pendências!$C$2:$C$135,$A9,Pendências!$J$2:$J$135,"Sem data")</f>
        <v>2</v>
      </c>
      <c r="D9" s="6" t="n">
        <f aca="false">COUNTIFS(Pendências!$C$2:$C$135,$A9,Pendências!$J$2:$J$135,"Vence em breve")</f>
        <v>1</v>
      </c>
      <c r="E9" s="7" t="n">
        <f aca="false">SUM(B9:D9)</f>
        <v>4</v>
      </c>
      <c r="F9" s="6" t="n">
        <f aca="false">COUNTIFS(Pendências!$C$2:$C$135,$A9,Pendências!$B$2:$B$135,"Alta")</f>
        <v>1</v>
      </c>
    </row>
    <row r="10" customFormat="false" ht="15" hidden="false" customHeight="false" outlineLevel="0" collapsed="false">
      <c r="A10" s="6" t="s">
        <v>107</v>
      </c>
      <c r="B10" s="6" t="n">
        <f aca="false">COUNTIFS(Pendências!$C$2:$C$135,$A10,Pendências!$J$2:$J$135,"Vencida")</f>
        <v>0</v>
      </c>
      <c r="C10" s="6" t="n">
        <f aca="false">COUNTIFS(Pendências!$C$2:$C$135,$A10,Pendências!$J$2:$J$135,"Sem data")</f>
        <v>2</v>
      </c>
      <c r="D10" s="6" t="n">
        <f aca="false">COUNTIFS(Pendências!$C$2:$C$135,$A10,Pendências!$J$2:$J$135,"Vence em breve")</f>
        <v>0</v>
      </c>
      <c r="E10" s="7" t="n">
        <f aca="false">SUM(B10:D10)</f>
        <v>2</v>
      </c>
      <c r="F10" s="6" t="n">
        <f aca="false">COUNTIFS(Pendências!$C$2:$C$135,$A10,Pendências!$B$2:$B$135,"Alta")</f>
        <v>0</v>
      </c>
    </row>
    <row r="11" customFormat="false" ht="15" hidden="false" customHeight="false" outlineLevel="0" collapsed="false">
      <c r="A11" s="6" t="s">
        <v>111</v>
      </c>
      <c r="B11" s="6" t="n">
        <f aca="false">COUNTIFS(Pendências!$C$2:$C$135,$A11,Pendências!$J$2:$J$135,"Vencida")</f>
        <v>3</v>
      </c>
      <c r="C11" s="6" t="n">
        <f aca="false">COUNTIFS(Pendências!$C$2:$C$135,$A11,Pendências!$J$2:$J$135,"Sem data")</f>
        <v>3</v>
      </c>
      <c r="D11" s="6" t="n">
        <f aca="false">COUNTIFS(Pendências!$C$2:$C$135,$A11,Pendências!$J$2:$J$135,"Vence em breve")</f>
        <v>0</v>
      </c>
      <c r="E11" s="7" t="n">
        <f aca="false">SUM(B11:D11)</f>
        <v>6</v>
      </c>
      <c r="F11" s="6" t="n">
        <f aca="false">COUNTIFS(Pendências!$C$2:$C$135,$A11,Pendências!$B$2:$B$135,"Alta")</f>
        <v>1</v>
      </c>
    </row>
    <row r="12" customFormat="false" ht="15" hidden="false" customHeight="false" outlineLevel="0" collapsed="false">
      <c r="A12" s="6" t="s">
        <v>115</v>
      </c>
      <c r="B12" s="6" t="n">
        <f aca="false">COUNTIFS(Pendências!$C$2:$C$135,$A12,Pendências!$J$2:$J$135,"Vencida")</f>
        <v>1</v>
      </c>
      <c r="C12" s="6" t="n">
        <f aca="false">COUNTIFS(Pendências!$C$2:$C$135,$A12,Pendências!$J$2:$J$135,"Sem data")</f>
        <v>0</v>
      </c>
      <c r="D12" s="6" t="n">
        <f aca="false">COUNTIFS(Pendências!$C$2:$C$135,$A12,Pendências!$J$2:$J$135,"Vence em breve")</f>
        <v>0</v>
      </c>
      <c r="E12" s="7" t="n">
        <f aca="false">SUM(B12:D12)</f>
        <v>1</v>
      </c>
      <c r="F12" s="6" t="n">
        <f aca="false">COUNTIFS(Pendências!$C$2:$C$135,$A12,Pendências!$B$2:$B$135,"Alta")</f>
        <v>1</v>
      </c>
    </row>
    <row r="13" customFormat="false" ht="15" hidden="false" customHeight="false" outlineLevel="0" collapsed="false">
      <c r="A13" s="6" t="s">
        <v>119</v>
      </c>
      <c r="B13" s="6" t="n">
        <f aca="false">COUNTIFS(Pendências!$C$2:$C$135,$A13,Pendências!$J$2:$J$135,"Vencida")</f>
        <v>2</v>
      </c>
      <c r="C13" s="6" t="n">
        <f aca="false">COUNTIFS(Pendências!$C$2:$C$135,$A13,Pendências!$J$2:$J$135,"Sem data")</f>
        <v>0</v>
      </c>
      <c r="D13" s="6" t="n">
        <f aca="false">COUNTIFS(Pendências!$C$2:$C$135,$A13,Pendências!$J$2:$J$135,"Vence em breve")</f>
        <v>0</v>
      </c>
      <c r="E13" s="7" t="n">
        <f aca="false">SUM(B13:D13)</f>
        <v>2</v>
      </c>
      <c r="F13" s="6" t="n">
        <f aca="false">COUNTIFS(Pendências!$C$2:$C$135,$A13,Pendências!$B$2:$B$135,"Alta")</f>
        <v>2</v>
      </c>
    </row>
    <row r="14" customFormat="false" ht="15" hidden="false" customHeight="false" outlineLevel="0" collapsed="false">
      <c r="A14" s="6" t="s">
        <v>124</v>
      </c>
      <c r="B14" s="6" t="n">
        <f aca="false">COUNTIFS(Pendências!$C$2:$C$135,$A14,Pendências!$J$2:$J$135,"Vencida")</f>
        <v>3</v>
      </c>
      <c r="C14" s="6" t="n">
        <f aca="false">COUNTIFS(Pendências!$C$2:$C$135,$A14,Pendências!$J$2:$J$135,"Sem data")</f>
        <v>1</v>
      </c>
      <c r="D14" s="6" t="n">
        <f aca="false">COUNTIFS(Pendências!$C$2:$C$135,$A14,Pendências!$J$2:$J$135,"Vence em breve")</f>
        <v>0</v>
      </c>
      <c r="E14" s="7" t="n">
        <f aca="false">SUM(B14:D14)</f>
        <v>4</v>
      </c>
      <c r="F14" s="6" t="n">
        <f aca="false">COUNTIFS(Pendências!$C$2:$C$135,$A14,Pendências!$B$2:$B$135,"Alta")</f>
        <v>2</v>
      </c>
    </row>
    <row r="15" customFormat="false" ht="15" hidden="false" customHeight="false" outlineLevel="0" collapsed="false">
      <c r="A15" s="6" t="s">
        <v>132</v>
      </c>
      <c r="B15" s="6" t="n">
        <f aca="false">COUNTIFS(Pendências!$C$2:$C$135,$A15,Pendências!$J$2:$J$135,"Vencida")</f>
        <v>1</v>
      </c>
      <c r="C15" s="6" t="n">
        <f aca="false">COUNTIFS(Pendências!$C$2:$C$135,$A15,Pendências!$J$2:$J$135,"Sem data")</f>
        <v>0</v>
      </c>
      <c r="D15" s="6" t="n">
        <f aca="false">COUNTIFS(Pendências!$C$2:$C$135,$A15,Pendências!$J$2:$J$135,"Vence em breve")</f>
        <v>0</v>
      </c>
      <c r="E15" s="7" t="n">
        <f aca="false">SUM(B15:D15)</f>
        <v>1</v>
      </c>
      <c r="F15" s="6" t="n">
        <f aca="false">COUNTIFS(Pendências!$C$2:$C$135,$A15,Pendências!$B$2:$B$135,"Alta")</f>
        <v>1</v>
      </c>
    </row>
    <row r="16" customFormat="false" ht="15" hidden="false" customHeight="false" outlineLevel="0" collapsed="false">
      <c r="A16" s="6" t="s">
        <v>136</v>
      </c>
      <c r="B16" s="6" t="n">
        <f aca="false">COUNTIFS(Pendências!$C$2:$C$135,$A16,Pendências!$J$2:$J$135,"Vencida")</f>
        <v>4</v>
      </c>
      <c r="C16" s="6" t="n">
        <f aca="false">COUNTIFS(Pendências!$C$2:$C$135,$A16,Pendências!$J$2:$J$135,"Sem data")</f>
        <v>2</v>
      </c>
      <c r="D16" s="6" t="n">
        <f aca="false">COUNTIFS(Pendências!$C$2:$C$135,$A16,Pendências!$J$2:$J$135,"Vence em breve")</f>
        <v>1</v>
      </c>
      <c r="E16" s="7" t="n">
        <f aca="false">SUM(B16:D16)</f>
        <v>7</v>
      </c>
      <c r="F16" s="6" t="n">
        <f aca="false">COUNTIFS(Pendências!$C$2:$C$135,$A16,Pendências!$B$2:$B$135,"Alta")</f>
        <v>2</v>
      </c>
    </row>
    <row r="17" customFormat="false" ht="15" hidden="false" customHeight="false" outlineLevel="0" collapsed="false">
      <c r="A17" s="6" t="s">
        <v>141</v>
      </c>
      <c r="B17" s="6" t="n">
        <f aca="false">COUNTIFS(Pendências!$C$2:$C$135,$A17,Pendências!$J$2:$J$135,"Vencida")</f>
        <v>2</v>
      </c>
      <c r="C17" s="6" t="n">
        <f aca="false">COUNTIFS(Pendências!$C$2:$C$135,$A17,Pendências!$J$2:$J$135,"Sem data")</f>
        <v>1</v>
      </c>
      <c r="D17" s="6" t="n">
        <f aca="false">COUNTIFS(Pendências!$C$2:$C$135,$A17,Pendências!$J$2:$J$135,"Vence em breve")</f>
        <v>1</v>
      </c>
      <c r="E17" s="7" t="n">
        <f aca="false">SUM(B17:D17)</f>
        <v>4</v>
      </c>
      <c r="F17" s="6" t="n">
        <f aca="false">COUNTIFS(Pendências!$C$2:$C$135,$A17,Pendências!$B$2:$B$135,"Alta")</f>
        <v>1</v>
      </c>
    </row>
    <row r="18" customFormat="false" ht="15" hidden="false" customHeight="false" outlineLevel="0" collapsed="false">
      <c r="A18" s="6" t="s">
        <v>147</v>
      </c>
      <c r="B18" s="6" t="n">
        <f aca="false">COUNTIFS(Pendências!$C$2:$C$135,$A18,Pendências!$J$2:$J$135,"Vencida")</f>
        <v>1</v>
      </c>
      <c r="C18" s="6" t="n">
        <f aca="false">COUNTIFS(Pendências!$C$2:$C$135,$A18,Pendências!$J$2:$J$135,"Sem data")</f>
        <v>0</v>
      </c>
      <c r="D18" s="6" t="n">
        <f aca="false">COUNTIFS(Pendências!$C$2:$C$135,$A18,Pendências!$J$2:$J$135,"Vence em breve")</f>
        <v>0</v>
      </c>
      <c r="E18" s="7" t="n">
        <f aca="false">SUM(B18:D18)</f>
        <v>1</v>
      </c>
      <c r="F18" s="6" t="n">
        <f aca="false">COUNTIFS(Pendências!$C$2:$C$135,$A18,Pendências!$B$2:$B$135,"Alta")</f>
        <v>1</v>
      </c>
    </row>
    <row r="19" customFormat="false" ht="15" hidden="false" customHeight="false" outlineLevel="0" collapsed="false">
      <c r="A19" s="6" t="s">
        <v>150</v>
      </c>
      <c r="B19" s="6" t="n">
        <f aca="false">COUNTIFS(Pendências!$C$2:$C$135,$A19,Pendências!$J$2:$J$135,"Vencida")</f>
        <v>2</v>
      </c>
      <c r="C19" s="6" t="n">
        <f aca="false">COUNTIFS(Pendências!$C$2:$C$135,$A19,Pendências!$J$2:$J$135,"Sem data")</f>
        <v>1</v>
      </c>
      <c r="D19" s="6" t="n">
        <f aca="false">COUNTIFS(Pendências!$C$2:$C$135,$A19,Pendências!$J$2:$J$135,"Vence em breve")</f>
        <v>0</v>
      </c>
      <c r="E19" s="7" t="n">
        <f aca="false">SUM(B19:D19)</f>
        <v>3</v>
      </c>
      <c r="F19" s="6" t="n">
        <f aca="false">COUNTIFS(Pendências!$C$2:$C$135,$A19,Pendências!$B$2:$B$135,"Alta")</f>
        <v>2</v>
      </c>
    </row>
    <row r="20" customFormat="false" ht="15" hidden="false" customHeight="false" outlineLevel="0" collapsed="false">
      <c r="A20" s="6" t="s">
        <v>154</v>
      </c>
      <c r="B20" s="6" t="n">
        <f aca="false">COUNTIFS(Pendências!$C$2:$C$135,$A20,Pendências!$J$2:$J$135,"Vencida")</f>
        <v>1</v>
      </c>
      <c r="C20" s="6" t="n">
        <f aca="false">COUNTIFS(Pendências!$C$2:$C$135,$A20,Pendências!$J$2:$J$135,"Sem data")</f>
        <v>0</v>
      </c>
      <c r="D20" s="6" t="n">
        <f aca="false">COUNTIFS(Pendências!$C$2:$C$135,$A20,Pendências!$J$2:$J$135,"Vence em breve")</f>
        <v>0</v>
      </c>
      <c r="E20" s="7" t="n">
        <f aca="false">SUM(B20:D20)</f>
        <v>1</v>
      </c>
      <c r="F20" s="6" t="n">
        <f aca="false">COUNTIFS(Pendências!$C$2:$C$135,$A20,Pendências!$B$2:$B$135,"Alta")</f>
        <v>1</v>
      </c>
    </row>
    <row r="21" customFormat="false" ht="15" hidden="false" customHeight="false" outlineLevel="0" collapsed="false">
      <c r="A21" s="6" t="s">
        <v>158</v>
      </c>
      <c r="B21" s="6" t="n">
        <f aca="false">COUNTIFS(Pendências!$C$2:$C$135,$A21,Pendências!$J$2:$J$135,"Vencida")</f>
        <v>1</v>
      </c>
      <c r="C21" s="6" t="n">
        <f aca="false">COUNTIFS(Pendências!$C$2:$C$135,$A21,Pendências!$J$2:$J$135,"Sem data")</f>
        <v>1</v>
      </c>
      <c r="D21" s="6" t="n">
        <f aca="false">COUNTIFS(Pendências!$C$2:$C$135,$A21,Pendências!$J$2:$J$135,"Vence em breve")</f>
        <v>0</v>
      </c>
      <c r="E21" s="7" t="n">
        <f aca="false">SUM(B21:D21)</f>
        <v>2</v>
      </c>
      <c r="F21" s="6" t="n">
        <f aca="false">COUNTIFS(Pendências!$C$2:$C$135,$A21,Pendências!$B$2:$B$135,"Alta")</f>
        <v>1</v>
      </c>
    </row>
    <row r="22" customFormat="false" ht="15" hidden="false" customHeight="false" outlineLevel="0" collapsed="false">
      <c r="A22" s="6" t="s">
        <v>162</v>
      </c>
      <c r="B22" s="6" t="n">
        <f aca="false">COUNTIFS(Pendências!$C$2:$C$135,$A22,Pendências!$J$2:$J$135,"Vencida")</f>
        <v>2</v>
      </c>
      <c r="C22" s="6" t="n">
        <f aca="false">COUNTIFS(Pendências!$C$2:$C$135,$A22,Pendências!$J$2:$J$135,"Sem data")</f>
        <v>0</v>
      </c>
      <c r="D22" s="6" t="n">
        <f aca="false">COUNTIFS(Pendências!$C$2:$C$135,$A22,Pendências!$J$2:$J$135,"Vence em breve")</f>
        <v>0</v>
      </c>
      <c r="E22" s="7" t="n">
        <f aca="false">SUM(B22:D22)</f>
        <v>2</v>
      </c>
      <c r="F22" s="6" t="n">
        <f aca="false">COUNTIFS(Pendências!$C$2:$C$135,$A22,Pendências!$B$2:$B$135,"Alta")</f>
        <v>2</v>
      </c>
    </row>
    <row r="23" customFormat="false" ht="15" hidden="false" customHeight="false" outlineLevel="0" collapsed="false">
      <c r="A23" s="6" t="s">
        <v>167</v>
      </c>
      <c r="B23" s="6" t="n">
        <f aca="false">COUNTIFS(Pendências!$C$2:$C$135,$A23,Pendências!$J$2:$J$135,"Vencida")</f>
        <v>2</v>
      </c>
      <c r="C23" s="6" t="n">
        <f aca="false">COUNTIFS(Pendências!$C$2:$C$135,$A23,Pendências!$J$2:$J$135,"Sem data")</f>
        <v>0</v>
      </c>
      <c r="D23" s="6" t="n">
        <f aca="false">COUNTIFS(Pendências!$C$2:$C$135,$A23,Pendências!$J$2:$J$135,"Vence em breve")</f>
        <v>0</v>
      </c>
      <c r="E23" s="7" t="n">
        <f aca="false">SUM(B23:D23)</f>
        <v>2</v>
      </c>
      <c r="F23" s="6" t="n">
        <f aca="false">COUNTIFS(Pendências!$C$2:$C$135,$A23,Pendências!$B$2:$B$135,"Alta")</f>
        <v>2</v>
      </c>
    </row>
    <row r="24" customFormat="false" ht="15" hidden="false" customHeight="false" outlineLevel="0" collapsed="false">
      <c r="A24" s="6" t="s">
        <v>172</v>
      </c>
      <c r="B24" s="6" t="n">
        <f aca="false">COUNTIFS(Pendências!$C$2:$C$135,$A24,Pendências!$J$2:$J$135,"Vencida")</f>
        <v>3</v>
      </c>
      <c r="C24" s="6" t="n">
        <f aca="false">COUNTIFS(Pendências!$C$2:$C$135,$A24,Pendências!$J$2:$J$135,"Sem data")</f>
        <v>0</v>
      </c>
      <c r="D24" s="6" t="n">
        <f aca="false">COUNTIFS(Pendências!$C$2:$C$135,$A24,Pendências!$J$2:$J$135,"Vence em breve")</f>
        <v>0</v>
      </c>
      <c r="E24" s="7" t="n">
        <f aca="false">SUM(B24:D24)</f>
        <v>3</v>
      </c>
      <c r="F24" s="6" t="n">
        <f aca="false">COUNTIFS(Pendências!$C$2:$C$135,$A24,Pendências!$B$2:$B$135,"Alta")</f>
        <v>2</v>
      </c>
    </row>
    <row r="25" customFormat="false" ht="15" hidden="false" customHeight="false" outlineLevel="0" collapsed="false">
      <c r="A25" s="6" t="s">
        <v>177</v>
      </c>
      <c r="B25" s="6" t="n">
        <f aca="false">COUNTIFS(Pendências!$C$2:$C$135,$A25,Pendências!$J$2:$J$135,"Vencida")</f>
        <v>2</v>
      </c>
      <c r="C25" s="6" t="n">
        <f aca="false">COUNTIFS(Pendências!$C$2:$C$135,$A25,Pendências!$J$2:$J$135,"Sem data")</f>
        <v>0</v>
      </c>
      <c r="D25" s="6" t="n">
        <f aca="false">COUNTIFS(Pendências!$C$2:$C$135,$A25,Pendências!$J$2:$J$135,"Vence em breve")</f>
        <v>0</v>
      </c>
      <c r="E25" s="7" t="n">
        <f aca="false">SUM(B25:D25)</f>
        <v>2</v>
      </c>
      <c r="F25" s="6" t="n">
        <f aca="false">COUNTIFS(Pendências!$C$2:$C$135,$A25,Pendências!$B$2:$B$135,"Alta")</f>
        <v>1</v>
      </c>
    </row>
    <row r="26" customFormat="false" ht="15" hidden="false" customHeight="false" outlineLevel="0" collapsed="false">
      <c r="A26" s="6" t="s">
        <v>181</v>
      </c>
      <c r="B26" s="6" t="n">
        <f aca="false">COUNTIFS(Pendências!$C$2:$C$135,$A26,Pendências!$J$2:$J$135,"Vencida")</f>
        <v>5</v>
      </c>
      <c r="C26" s="6" t="n">
        <f aca="false">COUNTIFS(Pendências!$C$2:$C$135,$A26,Pendências!$J$2:$J$135,"Sem data")</f>
        <v>0</v>
      </c>
      <c r="D26" s="6" t="n">
        <f aca="false">COUNTIFS(Pendências!$C$2:$C$135,$A26,Pendências!$J$2:$J$135,"Vence em breve")</f>
        <v>0</v>
      </c>
      <c r="E26" s="7" t="n">
        <f aca="false">SUM(B26:D26)</f>
        <v>5</v>
      </c>
      <c r="F26" s="6" t="n">
        <f aca="false">COUNTIFS(Pendências!$C$2:$C$135,$A26,Pendências!$B$2:$B$135,"Alta")</f>
        <v>3</v>
      </c>
    </row>
    <row r="27" customFormat="false" ht="15" hidden="false" customHeight="false" outlineLevel="0" collapsed="false">
      <c r="A27" s="6" t="s">
        <v>191</v>
      </c>
      <c r="B27" s="6" t="n">
        <f aca="false">COUNTIFS(Pendências!$C$2:$C$135,$A27,Pendências!$J$2:$J$135,"Vencida")</f>
        <v>0</v>
      </c>
      <c r="C27" s="6" t="n">
        <f aca="false">COUNTIFS(Pendências!$C$2:$C$135,$A27,Pendências!$J$2:$J$135,"Sem data")</f>
        <v>1</v>
      </c>
      <c r="D27" s="6" t="n">
        <f aca="false">COUNTIFS(Pendências!$C$2:$C$135,$A27,Pendências!$J$2:$J$135,"Vence em breve")</f>
        <v>0</v>
      </c>
      <c r="E27" s="7" t="n">
        <f aca="false">SUM(B27:D27)</f>
        <v>1</v>
      </c>
      <c r="F27" s="6" t="n">
        <f aca="false">COUNTIFS(Pendências!$C$2:$C$135,$A27,Pendências!$B$2:$B$135,"Alta")</f>
        <v>0</v>
      </c>
    </row>
    <row r="28" customFormat="false" ht="15" hidden="false" customHeight="false" outlineLevel="0" collapsed="false">
      <c r="A28" s="6" t="s">
        <v>195</v>
      </c>
      <c r="B28" s="6" t="n">
        <f aca="false">COUNTIFS(Pendências!$C$2:$C$135,$A28,Pendências!$J$2:$J$135,"Vencida")</f>
        <v>3</v>
      </c>
      <c r="C28" s="6" t="n">
        <f aca="false">COUNTIFS(Pendências!$C$2:$C$135,$A28,Pendências!$J$2:$J$135,"Sem data")</f>
        <v>0</v>
      </c>
      <c r="D28" s="6" t="n">
        <f aca="false">COUNTIFS(Pendências!$C$2:$C$135,$A28,Pendências!$J$2:$J$135,"Vence em breve")</f>
        <v>0</v>
      </c>
      <c r="E28" s="7" t="n">
        <f aca="false">SUM(B28:D28)</f>
        <v>3</v>
      </c>
      <c r="F28" s="6" t="n">
        <f aca="false">COUNTIFS(Pendências!$C$2:$C$135,$A28,Pendências!$B$2:$B$135,"Alta")</f>
        <v>2</v>
      </c>
    </row>
    <row r="29" customFormat="false" ht="15" hidden="false" customHeight="false" outlineLevel="0" collapsed="false">
      <c r="A29" s="6" t="s">
        <v>200</v>
      </c>
      <c r="B29" s="6" t="n">
        <f aca="false">COUNTIFS(Pendências!$C$2:$C$135,$A29,Pendências!$J$2:$J$135,"Vencida")</f>
        <v>3</v>
      </c>
      <c r="C29" s="6" t="n">
        <f aca="false">COUNTIFS(Pendências!$C$2:$C$135,$A29,Pendências!$J$2:$J$135,"Sem data")</f>
        <v>1</v>
      </c>
      <c r="D29" s="6" t="n">
        <f aca="false">COUNTIFS(Pendências!$C$2:$C$135,$A29,Pendências!$J$2:$J$135,"Vence em breve")</f>
        <v>0</v>
      </c>
      <c r="E29" s="7" t="n">
        <f aca="false">SUM(B29:D29)</f>
        <v>4</v>
      </c>
      <c r="F29" s="6" t="n">
        <f aca="false">COUNTIFS(Pendências!$C$2:$C$135,$A29,Pendências!$B$2:$B$135,"Alta")</f>
        <v>2</v>
      </c>
    </row>
    <row r="30" customFormat="false" ht="15" hidden="false" customHeight="false" outlineLevel="0" collapsed="false">
      <c r="A30" s="6" t="s">
        <v>207</v>
      </c>
      <c r="B30" s="6" t="n">
        <f aca="false">COUNTIFS(Pendências!$C$2:$C$135,$A30,Pendências!$J$2:$J$135,"Vencida")</f>
        <v>1</v>
      </c>
      <c r="C30" s="6" t="n">
        <f aca="false">COUNTIFS(Pendências!$C$2:$C$135,$A30,Pendências!$J$2:$J$135,"Sem data")</f>
        <v>1</v>
      </c>
      <c r="D30" s="6" t="n">
        <f aca="false">COUNTIFS(Pendências!$C$2:$C$135,$A30,Pendências!$J$2:$J$135,"Vence em breve")</f>
        <v>1</v>
      </c>
      <c r="E30" s="7" t="n">
        <f aca="false">SUM(B30:D30)</f>
        <v>3</v>
      </c>
      <c r="F30" s="6" t="n">
        <f aca="false">COUNTIFS(Pendências!$C$2:$C$135,$A30,Pendências!$B$2:$B$135,"Alta")</f>
        <v>2</v>
      </c>
    </row>
    <row r="31" customFormat="false" ht="15" hidden="false" customHeight="false" outlineLevel="0" collapsed="false">
      <c r="A31" s="6" t="s">
        <v>212</v>
      </c>
      <c r="B31" s="6" t="n">
        <f aca="false">COUNTIFS(Pendências!$C$2:$C$135,$A31,Pendências!$J$2:$J$135,"Vencida")</f>
        <v>1</v>
      </c>
      <c r="C31" s="6" t="n">
        <f aca="false">COUNTIFS(Pendências!$C$2:$C$135,$A31,Pendências!$J$2:$J$135,"Sem data")</f>
        <v>0</v>
      </c>
      <c r="D31" s="6" t="n">
        <f aca="false">COUNTIFS(Pendências!$C$2:$C$135,$A31,Pendências!$J$2:$J$135,"Vence em breve")</f>
        <v>1</v>
      </c>
      <c r="E31" s="7" t="n">
        <f aca="false">SUM(B31:D31)</f>
        <v>2</v>
      </c>
      <c r="F31" s="6" t="n">
        <f aca="false">COUNTIFS(Pendências!$C$2:$C$135,$A31,Pendências!$B$2:$B$135,"Alta")</f>
        <v>1</v>
      </c>
    </row>
    <row r="32" customFormat="false" ht="15" hidden="false" customHeight="false" outlineLevel="0" collapsed="false">
      <c r="A32" s="6" t="s">
        <v>218</v>
      </c>
      <c r="B32" s="6" t="n">
        <f aca="false">COUNTIFS(Pendências!$C$2:$C$135,$A32,Pendências!$J$2:$J$135,"Vencida")</f>
        <v>4</v>
      </c>
      <c r="C32" s="6" t="n">
        <f aca="false">COUNTIFS(Pendências!$C$2:$C$135,$A32,Pendências!$J$2:$J$135,"Sem data")</f>
        <v>0</v>
      </c>
      <c r="D32" s="6" t="n">
        <f aca="false">COUNTIFS(Pendências!$C$2:$C$135,$A32,Pendências!$J$2:$J$135,"Vence em breve")</f>
        <v>0</v>
      </c>
      <c r="E32" s="7" t="n">
        <f aca="false">SUM(B32:D32)</f>
        <v>4</v>
      </c>
      <c r="F32" s="6" t="n">
        <f aca="false">COUNTIFS(Pendências!$C$2:$C$135,$A32,Pendências!$B$2:$B$135,"Alta")</f>
        <v>3</v>
      </c>
    </row>
    <row r="33" customFormat="false" ht="15" hidden="false" customHeight="false" outlineLevel="0" collapsed="false">
      <c r="A33" s="6" t="s">
        <v>224</v>
      </c>
      <c r="B33" s="6" t="n">
        <f aca="false">COUNTIFS(Pendências!$C$2:$C$135,$A33,Pendências!$J$2:$J$135,"Vencida")</f>
        <v>1</v>
      </c>
      <c r="C33" s="6" t="n">
        <f aca="false">COUNTIFS(Pendências!$C$2:$C$135,$A33,Pendências!$J$2:$J$135,"Sem data")</f>
        <v>0</v>
      </c>
      <c r="D33" s="6" t="n">
        <f aca="false">COUNTIFS(Pendências!$C$2:$C$135,$A33,Pendências!$J$2:$J$135,"Vence em breve")</f>
        <v>0</v>
      </c>
      <c r="E33" s="7" t="n">
        <f aca="false">SUM(B33:D33)</f>
        <v>1</v>
      </c>
      <c r="F33" s="6" t="n">
        <f aca="false">COUNTIFS(Pendências!$C$2:$C$135,$A33,Pendências!$B$2:$B$135,"Alta")</f>
        <v>1</v>
      </c>
    </row>
    <row r="34" customFormat="false" ht="15" hidden="false" customHeight="false" outlineLevel="0" collapsed="false">
      <c r="A34" s="6" t="s">
        <v>227</v>
      </c>
      <c r="B34" s="6" t="n">
        <f aca="false">COUNTIFS(Pendências!$C$2:$C$135,$A34,Pendências!$J$2:$J$135,"Vencida")</f>
        <v>2</v>
      </c>
      <c r="C34" s="6" t="n">
        <f aca="false">COUNTIFS(Pendências!$C$2:$C$135,$A34,Pendências!$J$2:$J$135,"Sem data")</f>
        <v>0</v>
      </c>
      <c r="D34" s="6" t="n">
        <f aca="false">COUNTIFS(Pendências!$C$2:$C$135,$A34,Pendências!$J$2:$J$135,"Vence em breve")</f>
        <v>1</v>
      </c>
      <c r="E34" s="7" t="n">
        <f aca="false">SUM(B34:D34)</f>
        <v>3</v>
      </c>
      <c r="F34" s="6" t="n">
        <f aca="false">COUNTIFS(Pendências!$C$2:$C$135,$A34,Pendências!$B$2:$B$135,"Alta")</f>
        <v>3</v>
      </c>
    </row>
    <row r="35" customFormat="false" ht="15" hidden="false" customHeight="false" outlineLevel="0" collapsed="false">
      <c r="A35" s="6" t="s">
        <v>233</v>
      </c>
      <c r="B35" s="6" t="n">
        <f aca="false">COUNTIFS(Pendências!$C$2:$C$135,$A35,Pendências!$J$2:$J$135,"Vencida")</f>
        <v>2</v>
      </c>
      <c r="C35" s="6" t="n">
        <f aca="false">COUNTIFS(Pendências!$C$2:$C$135,$A35,Pendências!$J$2:$J$135,"Sem data")</f>
        <v>0</v>
      </c>
      <c r="D35" s="6" t="n">
        <f aca="false">COUNTIFS(Pendências!$C$2:$C$135,$A35,Pendências!$J$2:$J$135,"Vence em breve")</f>
        <v>0</v>
      </c>
      <c r="E35" s="7" t="n">
        <f aca="false">SUM(B35:D35)</f>
        <v>2</v>
      </c>
      <c r="F35" s="6" t="n">
        <f aca="false">COUNTIFS(Pendências!$C$2:$C$135,$A35,Pendências!$B$2:$B$135,"Alta")</f>
        <v>2</v>
      </c>
    </row>
    <row r="36" customFormat="false" ht="15" hidden="false" customHeight="false" outlineLevel="0" collapsed="false">
      <c r="A36" s="6" t="s">
        <v>238</v>
      </c>
      <c r="B36" s="6" t="n">
        <f aca="false">COUNTIFS(Pendências!$C$2:$C$135,$A36,Pendências!$J$2:$J$135,"Vencida")</f>
        <v>3</v>
      </c>
      <c r="C36" s="6" t="n">
        <f aca="false">COUNTIFS(Pendências!$C$2:$C$135,$A36,Pendências!$J$2:$J$135,"Sem data")</f>
        <v>0</v>
      </c>
      <c r="D36" s="6" t="n">
        <f aca="false">COUNTIFS(Pendências!$C$2:$C$135,$A36,Pendências!$J$2:$J$135,"Vence em breve")</f>
        <v>0</v>
      </c>
      <c r="E36" s="7" t="n">
        <f aca="false">SUM(B36:D36)</f>
        <v>3</v>
      </c>
      <c r="F36" s="6" t="n">
        <f aca="false">COUNTIFS(Pendências!$C$2:$C$135,$A36,Pendências!$B$2:$B$135,"Alta")</f>
        <v>3</v>
      </c>
    </row>
    <row r="37" customFormat="false" ht="15" hidden="false" customHeight="false" outlineLevel="0" collapsed="false">
      <c r="A37" s="6" t="s">
        <v>244</v>
      </c>
      <c r="B37" s="6" t="n">
        <f aca="false">COUNTIFS(Pendências!$C$2:$C$135,$A37,Pendências!$J$2:$J$135,"Vencida")</f>
        <v>2</v>
      </c>
      <c r="C37" s="6" t="n">
        <f aca="false">COUNTIFS(Pendências!$C$2:$C$135,$A37,Pendências!$J$2:$J$135,"Sem data")</f>
        <v>0</v>
      </c>
      <c r="D37" s="6" t="n">
        <f aca="false">COUNTIFS(Pendências!$C$2:$C$135,$A37,Pendências!$J$2:$J$135,"Vence em breve")</f>
        <v>0</v>
      </c>
      <c r="E37" s="7" t="n">
        <f aca="false">SUM(B37:D37)</f>
        <v>2</v>
      </c>
      <c r="F37" s="6" t="n">
        <f aca="false">COUNTIFS(Pendências!$C$2:$C$135,$A37,Pendências!$B$2:$B$135,"Alta")</f>
        <v>2</v>
      </c>
    </row>
    <row r="38" customFormat="false" ht="15" hidden="false" customHeight="false" outlineLevel="0" collapsed="false">
      <c r="A38" s="6" t="s">
        <v>249</v>
      </c>
      <c r="B38" s="6" t="n">
        <f aca="false">COUNTIFS(Pendências!$C$2:$C$135,$A38,Pendências!$J$2:$J$135,"Vencida")</f>
        <v>3</v>
      </c>
      <c r="C38" s="6" t="n">
        <f aca="false">COUNTIFS(Pendências!$C$2:$C$135,$A38,Pendências!$J$2:$J$135,"Sem data")</f>
        <v>0</v>
      </c>
      <c r="D38" s="6" t="n">
        <f aca="false">COUNTIFS(Pendências!$C$2:$C$135,$A38,Pendências!$J$2:$J$135,"Vence em breve")</f>
        <v>0</v>
      </c>
      <c r="E38" s="7" t="n">
        <f aca="false">SUM(B38:D38)</f>
        <v>3</v>
      </c>
      <c r="F38" s="6" t="n">
        <f aca="false">COUNTIFS(Pendências!$C$2:$C$135,$A38,Pendências!$B$2:$B$135,"Alta")</f>
        <v>3</v>
      </c>
    </row>
    <row r="39" customFormat="false" ht="15" hidden="false" customHeight="false" outlineLevel="0" collapsed="false">
      <c r="A39" s="6" t="s">
        <v>256</v>
      </c>
      <c r="B39" s="6" t="n">
        <f aca="false">COUNTIFS(Pendências!$C$2:$C$135,$A39,Pendências!$J$2:$J$135,"Vencida")</f>
        <v>3</v>
      </c>
      <c r="C39" s="6" t="n">
        <f aca="false">COUNTIFS(Pendências!$C$2:$C$135,$A39,Pendências!$J$2:$J$135,"Sem data")</f>
        <v>0</v>
      </c>
      <c r="D39" s="6" t="n">
        <f aca="false">COUNTIFS(Pendências!$C$2:$C$135,$A39,Pendências!$J$2:$J$135,"Vence em breve")</f>
        <v>0</v>
      </c>
      <c r="E39" s="7" t="n">
        <f aca="false">SUM(B39:D39)</f>
        <v>3</v>
      </c>
      <c r="F39" s="6" t="n">
        <f aca="false">COUNTIFS(Pendências!$C$2:$C$135,$A39,Pendências!$B$2:$B$135,"Alta")</f>
        <v>3</v>
      </c>
    </row>
    <row r="40" customFormat="false" ht="15" hidden="false" customHeight="false" outlineLevel="0" collapsed="false">
      <c r="A40" s="6" t="s">
        <v>260</v>
      </c>
      <c r="B40" s="6" t="n">
        <f aca="false">COUNTIFS(Pendências!$C$2:$C$135,$A40,Pendências!$J$2:$J$135,"Vencida")</f>
        <v>1</v>
      </c>
      <c r="C40" s="6" t="n">
        <f aca="false">COUNTIFS(Pendências!$C$2:$C$135,$A40,Pendências!$J$2:$J$135,"Sem data")</f>
        <v>2</v>
      </c>
      <c r="D40" s="6" t="n">
        <f aca="false">COUNTIFS(Pendências!$C$2:$C$135,$A40,Pendências!$J$2:$J$135,"Vence em breve")</f>
        <v>0</v>
      </c>
      <c r="E40" s="7" t="n">
        <f aca="false">SUM(B40:D40)</f>
        <v>3</v>
      </c>
      <c r="F40" s="6" t="n">
        <f aca="false">COUNTIFS(Pendências!$C$2:$C$135,$A40,Pendências!$B$2:$B$135,"Alta")</f>
        <v>1</v>
      </c>
    </row>
    <row r="41" customFormat="false" ht="15" hidden="false" customHeight="false" outlineLevel="0" collapsed="false">
      <c r="A41" s="6" t="s">
        <v>264</v>
      </c>
      <c r="B41" s="6" t="n">
        <f aca="false">COUNTIFS(Pendências!$C$2:$C$135,$A41,Pendências!$J$2:$J$135,"Vencida")</f>
        <v>2</v>
      </c>
      <c r="C41" s="6" t="n">
        <f aca="false">COUNTIFS(Pendências!$C$2:$C$135,$A41,Pendências!$J$2:$J$135,"Sem data")</f>
        <v>1</v>
      </c>
      <c r="D41" s="6" t="n">
        <f aca="false">COUNTIFS(Pendências!$C$2:$C$135,$A41,Pendências!$J$2:$J$135,"Vence em breve")</f>
        <v>0</v>
      </c>
      <c r="E41" s="7" t="n">
        <f aca="false">SUM(B41:D41)</f>
        <v>3</v>
      </c>
      <c r="F41" s="6" t="n">
        <f aca="false">COUNTIFS(Pendências!$C$2:$C$135,$A41,Pendências!$B$2:$B$135,"Alta")</f>
        <v>2</v>
      </c>
    </row>
    <row r="42" customFormat="false" ht="15" hidden="false" customHeight="false" outlineLevel="0" collapsed="false">
      <c r="A42" s="6" t="s">
        <v>268</v>
      </c>
      <c r="B42" s="6" t="n">
        <f aca="false">COUNTIFS(Pendências!$C$2:$C$135,$A42,Pendências!$J$2:$J$135,"Vencida")</f>
        <v>2</v>
      </c>
      <c r="C42" s="6" t="n">
        <f aca="false">COUNTIFS(Pendências!$C$2:$C$135,$A42,Pendências!$J$2:$J$135,"Sem data")</f>
        <v>0</v>
      </c>
      <c r="D42" s="6" t="n">
        <f aca="false">COUNTIFS(Pendências!$C$2:$C$135,$A42,Pendências!$J$2:$J$135,"Vence em breve")</f>
        <v>1</v>
      </c>
      <c r="E42" s="7" t="n">
        <f aca="false">SUM(B42:D42)</f>
        <v>3</v>
      </c>
      <c r="F42" s="6" t="n">
        <f aca="false">COUNTIFS(Pendências!$C$2:$C$135,$A42,Pendências!$B$2:$B$135,"Alta")</f>
        <v>2</v>
      </c>
    </row>
    <row r="43" customFormat="false" ht="15" hidden="false" customHeight="false" outlineLevel="0" collapsed="false">
      <c r="A43" s="6" t="s">
        <v>275</v>
      </c>
      <c r="B43" s="6" t="n">
        <f aca="false">COUNTIFS(Pendências!$C$2:$C$135,$A43,Pendências!$J$2:$J$135,"Vencida")</f>
        <v>4</v>
      </c>
      <c r="C43" s="6" t="n">
        <f aca="false">COUNTIFS(Pendências!$C$2:$C$135,$A43,Pendências!$J$2:$J$135,"Sem data")</f>
        <v>1</v>
      </c>
      <c r="D43" s="6" t="n">
        <f aca="false">COUNTIFS(Pendências!$C$2:$C$135,$A43,Pendências!$J$2:$J$135,"Vence em breve")</f>
        <v>1</v>
      </c>
      <c r="E43" s="7" t="n">
        <f aca="false">SUM(B43:D43)</f>
        <v>6</v>
      </c>
      <c r="F43" s="6" t="n">
        <f aca="false">COUNTIFS(Pendências!$C$2:$C$135,$A43,Pendências!$B$2:$B$135,"Alta")</f>
        <v>4</v>
      </c>
    </row>
    <row r="44" customFormat="false" ht="15" hidden="false" customHeight="false" outlineLevel="0" collapsed="false">
      <c r="A44" s="6" t="s">
        <v>281</v>
      </c>
      <c r="B44" s="6" t="n">
        <f aca="false">COUNTIFS(Pendências!$C$2:$C$135,$A44,Pendências!$J$2:$J$135,"Vencida")</f>
        <v>3</v>
      </c>
      <c r="C44" s="6" t="n">
        <f aca="false">COUNTIFS(Pendências!$C$2:$C$135,$A44,Pendências!$J$2:$J$135,"Sem data")</f>
        <v>4</v>
      </c>
      <c r="D44" s="6" t="n">
        <f aca="false">COUNTIFS(Pendências!$C$2:$C$135,$A44,Pendências!$J$2:$J$135,"Vence em breve")</f>
        <v>0</v>
      </c>
      <c r="E44" s="7" t="n">
        <f aca="false">SUM(B44:D44)</f>
        <v>7</v>
      </c>
      <c r="F44" s="6" t="n">
        <f aca="false">COUNTIFS(Pendências!$C$2:$C$135,$A44,Pendências!$B$2:$B$135,"Alta")</f>
        <v>1</v>
      </c>
    </row>
    <row r="45" customFormat="false" ht="15" hidden="false" customHeight="false" outlineLevel="0" collapsed="false">
      <c r="A45" s="6" t="s">
        <v>286</v>
      </c>
      <c r="B45" s="6" t="n">
        <f aca="false">COUNTIFS(Pendências!$C$2:$C$135,$A45,Pendências!$J$2:$J$135,"Vencida")</f>
        <v>2</v>
      </c>
      <c r="C45" s="6" t="n">
        <f aca="false">COUNTIFS(Pendências!$C$2:$C$135,$A45,Pendências!$J$2:$J$135,"Sem data")</f>
        <v>0</v>
      </c>
      <c r="D45" s="6" t="n">
        <f aca="false">COUNTIFS(Pendências!$C$2:$C$135,$A45,Pendências!$J$2:$J$135,"Vence em breve")</f>
        <v>1</v>
      </c>
      <c r="E45" s="7" t="n">
        <f aca="false">SUM(B45:D45)</f>
        <v>3</v>
      </c>
      <c r="F45" s="6" t="n">
        <f aca="false">COUNTIFS(Pendências!$C$2:$C$135,$A45,Pendências!$B$2:$B$135,"Alta")</f>
        <v>2</v>
      </c>
    </row>
    <row r="46" customFormat="false" ht="15" hidden="false" customHeight="false" outlineLevel="0" collapsed="false">
      <c r="A46" s="6" t="s">
        <v>289</v>
      </c>
      <c r="B46" s="6" t="n">
        <f aca="false">COUNTIFS(Pendências!$C$2:$C$135,$A46,Pendências!$J$2:$J$135,"Vencida")</f>
        <v>2</v>
      </c>
      <c r="C46" s="6" t="n">
        <f aca="false">COUNTIFS(Pendências!$C$2:$C$135,$A46,Pendências!$J$2:$J$135,"Sem data")</f>
        <v>1</v>
      </c>
      <c r="D46" s="6" t="n">
        <f aca="false">COUNTIFS(Pendências!$C$2:$C$135,$A46,Pendências!$J$2:$J$135,"Vence em breve")</f>
        <v>0</v>
      </c>
      <c r="E46" s="7" t="n">
        <f aca="false">SUM(B46:D46)</f>
        <v>3</v>
      </c>
      <c r="F46" s="6" t="n">
        <f aca="false">COUNTIFS(Pendências!$C$2:$C$135,$A46,Pendências!$B$2:$B$135,"Alta")</f>
        <v>2</v>
      </c>
    </row>
  </sheetData>
  <autoFilter ref="A1:F4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2"/>
    <col collapsed="false" customWidth="true" hidden="false" outlineLevel="0" max="3" min="3" style="0" width="80"/>
    <col collapsed="false" customWidth="true" hidden="false" outlineLevel="0" max="5" min="4" style="0" width="18"/>
  </cols>
  <sheetData>
    <row r="1" customFormat="false" ht="15" hidden="false" customHeight="false" outlineLevel="0" collapsed="false">
      <c r="A1" s="16" t="s">
        <v>31</v>
      </c>
      <c r="B1" s="16" t="s">
        <v>33</v>
      </c>
      <c r="C1" s="16" t="s">
        <v>37</v>
      </c>
      <c r="D1" s="16" t="s">
        <v>42</v>
      </c>
      <c r="E1" s="16" t="s">
        <v>43</v>
      </c>
    </row>
    <row r="2" customFormat="false" ht="15" hidden="false" customHeight="false" outlineLevel="0" collapsed="false">
      <c r="A2" s="17" t="s">
        <v>295</v>
      </c>
      <c r="B2" s="17" t="s">
        <v>296</v>
      </c>
      <c r="C2" s="17" t="s">
        <v>297</v>
      </c>
    </row>
    <row r="3" customFormat="false" ht="15" hidden="false" customHeight="false" outlineLevel="0" collapsed="false">
      <c r="A3" s="17" t="s">
        <v>298</v>
      </c>
      <c r="B3" s="17" t="s">
        <v>299</v>
      </c>
      <c r="C3" s="17" t="s">
        <v>300</v>
      </c>
    </row>
    <row r="4" customFormat="false" ht="15" hidden="false" customHeight="false" outlineLevel="0" collapsed="false">
      <c r="A4" s="17" t="s">
        <v>301</v>
      </c>
      <c r="B4" s="17" t="s">
        <v>302</v>
      </c>
      <c r="C4" s="17" t="s">
        <v>303</v>
      </c>
    </row>
    <row r="5" customFormat="false" ht="15" hidden="false" customHeight="false" outlineLevel="0" collapsed="false">
      <c r="A5" s="17" t="s">
        <v>304</v>
      </c>
      <c r="B5" s="17" t="s">
        <v>305</v>
      </c>
      <c r="C5" s="17" t="s">
        <v>306</v>
      </c>
    </row>
    <row r="6" customFormat="false" ht="15" hidden="false" customHeight="false" outlineLevel="0" collapsed="false">
      <c r="A6" s="17" t="s">
        <v>307</v>
      </c>
      <c r="B6" s="17" t="s">
        <v>308</v>
      </c>
      <c r="C6" s="17" t="s">
        <v>309</v>
      </c>
    </row>
    <row r="7" customFormat="false" ht="15" hidden="false" customHeight="false" outlineLevel="0" collapsed="false">
      <c r="A7" s="17" t="s">
        <v>310</v>
      </c>
      <c r="B7" s="17" t="s">
        <v>311</v>
      </c>
      <c r="C7" s="17" t="s">
        <v>312</v>
      </c>
    </row>
    <row r="8" customFormat="false" ht="15" hidden="false" customHeight="false" outlineLevel="0" collapsed="false">
      <c r="A8" s="17" t="s">
        <v>313</v>
      </c>
      <c r="B8" s="17" t="s">
        <v>314</v>
      </c>
      <c r="C8" s="17" t="s">
        <v>315</v>
      </c>
    </row>
    <row r="9" customFormat="false" ht="15" hidden="false" customHeight="false" outlineLevel="0" collapsed="false">
      <c r="A9" s="17" t="s">
        <v>316</v>
      </c>
      <c r="B9" s="17" t="s">
        <v>317</v>
      </c>
      <c r="C9" s="17" t="s">
        <v>318</v>
      </c>
    </row>
    <row r="10" customFormat="false" ht="15" hidden="false" customHeight="false" outlineLevel="0" collapsed="false">
      <c r="A10" s="17" t="s">
        <v>319</v>
      </c>
      <c r="B10" s="17" t="s">
        <v>320</v>
      </c>
      <c r="C10" s="17" t="s">
        <v>321</v>
      </c>
    </row>
    <row r="11" customFormat="false" ht="15" hidden="false" customHeight="false" outlineLevel="0" collapsed="false">
      <c r="A11" s="17" t="s">
        <v>322</v>
      </c>
      <c r="B11" s="17" t="s">
        <v>323</v>
      </c>
      <c r="C11" s="17" t="s">
        <v>324</v>
      </c>
    </row>
    <row r="12" customFormat="false" ht="15" hidden="false" customHeight="false" outlineLevel="0" collapsed="false">
      <c r="A12" s="17" t="s">
        <v>325</v>
      </c>
      <c r="B12" s="17" t="s">
        <v>317</v>
      </c>
      <c r="C12" s="17" t="s">
        <v>326</v>
      </c>
    </row>
    <row r="13" customFormat="false" ht="15" hidden="false" customHeight="false" outlineLevel="0" collapsed="false">
      <c r="A13" s="17" t="s">
        <v>327</v>
      </c>
      <c r="B13" s="17" t="s">
        <v>328</v>
      </c>
      <c r="C13" s="17" t="s">
        <v>329</v>
      </c>
    </row>
    <row r="14" customFormat="false" ht="15" hidden="false" customHeight="false" outlineLevel="0" collapsed="false">
      <c r="A14" s="17" t="s">
        <v>330</v>
      </c>
      <c r="B14" s="17" t="s">
        <v>331</v>
      </c>
      <c r="C14" s="17" t="s">
        <v>332</v>
      </c>
    </row>
    <row r="15" customFormat="false" ht="15" hidden="false" customHeight="false" outlineLevel="0" collapsed="false">
      <c r="A15" s="17" t="s">
        <v>333</v>
      </c>
      <c r="B15" s="17" t="s">
        <v>334</v>
      </c>
      <c r="C15" s="17" t="s">
        <v>335</v>
      </c>
    </row>
    <row r="16" customFormat="false" ht="15" hidden="false" customHeight="false" outlineLevel="0" collapsed="false">
      <c r="A16" s="17" t="s">
        <v>336</v>
      </c>
      <c r="B16" s="17" t="s">
        <v>337</v>
      </c>
      <c r="C16" s="17" t="s">
        <v>338</v>
      </c>
    </row>
    <row r="17" customFormat="false" ht="15" hidden="false" customHeight="false" outlineLevel="0" collapsed="false">
      <c r="A17" s="17" t="s">
        <v>339</v>
      </c>
      <c r="B17" s="17" t="s">
        <v>340</v>
      </c>
      <c r="C17" s="17" t="s">
        <v>341</v>
      </c>
    </row>
    <row r="18" customFormat="false" ht="15" hidden="false" customHeight="false" outlineLevel="0" collapsed="false">
      <c r="A18" s="17" t="s">
        <v>342</v>
      </c>
      <c r="B18" s="17" t="s">
        <v>103</v>
      </c>
      <c r="C18" s="17" t="s">
        <v>343</v>
      </c>
    </row>
    <row r="19" customFormat="false" ht="15" hidden="false" customHeight="false" outlineLevel="0" collapsed="false">
      <c r="A19" s="17" t="s">
        <v>344</v>
      </c>
      <c r="B19" s="17" t="s">
        <v>317</v>
      </c>
      <c r="C19" s="17" t="s">
        <v>345</v>
      </c>
    </row>
    <row r="20" customFormat="false" ht="15" hidden="false" customHeight="false" outlineLevel="0" collapsed="false">
      <c r="A20" s="17" t="s">
        <v>346</v>
      </c>
      <c r="B20" s="17" t="s">
        <v>317</v>
      </c>
      <c r="C20" s="17" t="s">
        <v>347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2026-10-23T12:04:12Z</dcterms:created>
  <dc:creator>openpyxl</dc:creator>
  <dc:description/>
  <dc:language>en-US</dc:language>
  <cp:lastModifiedBy/>
  <dcterms:modified xsi:type="dcterms:W3CDTF">2026-10-23T12:04:13Z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